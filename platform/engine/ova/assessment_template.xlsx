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3.xml" ContentType="application/vnd.openxmlformats-officedocument.drawing+xml"/>
  <Override PartName="/xl/tables/table13.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4.xml" ContentType="application/vnd.openxmlformats-officedocument.spreadsheetml.table+xml"/>
  <Override PartName="/xl/drawings/drawing7.xml" ContentType="application/vnd.openxmlformats-officedocument.drawing+xml"/>
  <Override PartName="/xl/tables/table15.xml" ContentType="application/vnd.openxmlformats-officedocument.spreadsheetml.table+xml"/>
  <Override PartName="/xl/drawings/drawing8.xml" ContentType="application/vnd.openxmlformats-officedocument.drawing+xml"/>
  <Override PartName="/xl/tables/table16.xml" ContentType="application/vnd.openxmlformats-officedocument.spreadsheetml.table+xml"/>
  <Override PartName="/xl/drawings/drawing9.xml" ContentType="application/vnd.openxmlformats-officedocument.drawing+xml"/>
  <Override PartName="/xl/tables/table17.xml" ContentType="application/vnd.openxmlformats-officedocument.spreadsheetml.table+xml"/>
  <Override PartName="/xl/drawings/drawing10.xml" ContentType="application/vnd.openxmlformats-officedocument.drawing+xml"/>
  <Override PartName="/xl/tables/table18.xml" ContentType="application/vnd.openxmlformats-officedocument.spreadsheetml.table+xml"/>
  <Override PartName="/xl/drawings/drawing11.xml" ContentType="application/vnd.openxmlformats-officedocument.drawing+xml"/>
  <Override PartName="/xl/tables/table1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Padrasys\Padrasys-New\"/>
    </mc:Choice>
  </mc:AlternateContent>
  <xr:revisionPtr revIDLastSave="0" documentId="13_ncr:1_{FA68478F-9183-4DD3-A7E3-50CE19019045}" xr6:coauthVersionLast="47" xr6:coauthVersionMax="47" xr10:uidLastSave="{00000000-0000-0000-0000-000000000000}"/>
  <bookViews>
    <workbookView xWindow="-120" yWindow="-120" windowWidth="29040" windowHeight="15720" xr2:uid="{00000000-000D-0000-FFFF-FFFF00000000}"/>
  </bookViews>
  <sheets>
    <sheet name="Cover" sheetId="3" r:id="rId1"/>
    <sheet name="Document Information" sheetId="4" r:id="rId2"/>
    <sheet name="Host information" sheetId="39" r:id="rId3"/>
    <sheet name="Firewall Assessment" sheetId="38" r:id="rId4"/>
    <sheet name="Summary" sheetId="34" r:id="rId5"/>
    <sheet name="Vulnerabilities" sheetId="20" r:id="rId6"/>
    <sheet name="Compliance" sheetId="33" r:id="rId7"/>
    <sheet name="Remediations" sheetId="21" r:id="rId8"/>
    <sheet name="Package" sheetId="35" r:id="rId9"/>
    <sheet name="Users" sheetId="23" r:id="rId10"/>
    <sheet name="Whitelist 1 Users" sheetId="24" state="hidden" r:id="rId11"/>
    <sheet name="Whitelist 2 Users" sheetId="25" state="hidden" r:id="rId12"/>
    <sheet name="Routes" sheetId="27" r:id="rId13"/>
    <sheet name="Groups" sheetId="26" r:id="rId14"/>
    <sheet name="Processes Running by root" sheetId="36" r:id="rId15"/>
    <sheet name="Cron Jobs" sheetId="29" r:id="rId16"/>
    <sheet name="Environment" sheetId="37" r:id="rId17"/>
    <sheet name="ssh known hosts" sheetId="31" r:id="rId18"/>
  </sheets>
  <externalReferences>
    <externalReference r:id="rId19"/>
  </externalReferences>
  <definedNames>
    <definedName name="_xlnm._FilterDatabase" localSheetId="13" hidden="1">Groups!$A$1:$E$10</definedName>
    <definedName name="_xlnm._FilterDatabase" localSheetId="9" hidden="1">Users!$A$1:$K$26</definedName>
    <definedName name="_xlnm.Print_Area" localSheetId="0">Cover!$A$1:$N$27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4" l="1"/>
  <c r="B4" i="34"/>
  <c r="B3" i="34"/>
  <c r="B2" i="34"/>
  <c r="G9" i="33"/>
  <c r="B17" i="34" s="1"/>
  <c r="F9" i="33"/>
  <c r="B16" i="34" s="1"/>
  <c r="E9" i="33"/>
  <c r="B15" i="34" s="1"/>
  <c r="D9" i="33"/>
  <c r="B14" i="34" s="1"/>
  <c r="C9" i="33"/>
  <c r="B12" i="34" s="1"/>
  <c r="B9" i="33"/>
  <c r="B13" i="34" s="1"/>
</calcChain>
</file>

<file path=xl/sharedStrings.xml><?xml version="1.0" encoding="utf-8"?>
<sst xmlns="http://schemas.openxmlformats.org/spreadsheetml/2006/main" count="672" uniqueCount="387">
  <si>
    <t>Medium</t>
  </si>
  <si>
    <t>High</t>
  </si>
  <si>
    <t>Low</t>
  </si>
  <si>
    <t>Critical</t>
  </si>
  <si>
    <t>Status</t>
  </si>
  <si>
    <t>Owner</t>
  </si>
  <si>
    <t>MCI</t>
  </si>
  <si>
    <t>Publish date</t>
  </si>
  <si>
    <t>Confidential</t>
  </si>
  <si>
    <t>Hostname</t>
  </si>
  <si>
    <t>Vulnerabilities</t>
  </si>
  <si>
    <t>MAC Address</t>
  </si>
  <si>
    <t>CVE</t>
  </si>
  <si>
    <t>Name</t>
  </si>
  <si>
    <t>Description</t>
  </si>
  <si>
    <t>Solution</t>
  </si>
  <si>
    <t>Assessed Threat Level</t>
  </si>
  <si>
    <t>SOC Agent</t>
  </si>
  <si>
    <t>TCP/UDP open Ports Inbound</t>
  </si>
  <si>
    <t>TCP/UDP open Ports Outband</t>
  </si>
  <si>
    <t>Compliance</t>
  </si>
  <si>
    <t>Failed</t>
  </si>
  <si>
    <t>Passed</t>
  </si>
  <si>
    <t>Host</t>
  </si>
  <si>
    <t>IP Address (OAM)</t>
  </si>
  <si>
    <t>Publisher</t>
  </si>
  <si>
    <t>Confirmer</t>
  </si>
  <si>
    <t>Source IP Address</t>
  </si>
  <si>
    <t>Source Port Number</t>
  </si>
  <si>
    <t>Protocol</t>
  </si>
  <si>
    <t>Destination IP Address</t>
  </si>
  <si>
    <t>Destination Port Number</t>
  </si>
  <si>
    <t>/root</t>
  </si>
  <si>
    <t>root</t>
  </si>
  <si>
    <t>Security Comment</t>
  </si>
  <si>
    <t>Owner Comment</t>
  </si>
  <si>
    <t>Whitelist 2</t>
  </si>
  <si>
    <t>Whitelist 1</t>
  </si>
  <si>
    <t>Home Directory</t>
  </si>
  <si>
    <t>Shell path</t>
  </si>
  <si>
    <t>Realname</t>
  </si>
  <si>
    <t>Group ID</t>
  </si>
  <si>
    <t>User ID</t>
  </si>
  <si>
    <t>Username</t>
  </si>
  <si>
    <t>docker</t>
  </si>
  <si>
    <t>www-data</t>
  </si>
  <si>
    <t>Category</t>
  </si>
  <si>
    <t>Group Member</t>
  </si>
  <si>
    <t>GID</t>
  </si>
  <si>
    <t>Group Name</t>
  </si>
  <si>
    <t>Interface</t>
  </si>
  <si>
    <t>Gateway</t>
  </si>
  <si>
    <t>Destination</t>
  </si>
  <si>
    <t>OS (uname -a)</t>
  </si>
  <si>
    <t>PID</t>
  </si>
  <si>
    <t>Path</t>
  </si>
  <si>
    <t>cronjob</t>
  </si>
  <si>
    <t>zabbix</t>
  </si>
  <si>
    <t>mail</t>
  </si>
  <si>
    <t>/bin/bash</t>
  </si>
  <si>
    <t>/sbin/nologin</t>
  </si>
  <si>
    <t>/bin/sync</t>
  </si>
  <si>
    <t>/sbin/shutdown</t>
  </si>
  <si>
    <t>/sbin/halt</t>
  </si>
  <si>
    <t>bin</t>
  </si>
  <si>
    <t>daemon</t>
  </si>
  <si>
    <t>adm</t>
  </si>
  <si>
    <t>lp</t>
  </si>
  <si>
    <t>sync</t>
  </si>
  <si>
    <t>shutdown</t>
  </si>
  <si>
    <t>halt</t>
  </si>
  <si>
    <t>operator</t>
  </si>
  <si>
    <t>nobody</t>
  </si>
  <si>
    <t>Kernel Overflow User</t>
  </si>
  <si>
    <t>dbus</t>
  </si>
  <si>
    <t>System message bus</t>
  </si>
  <si>
    <t>systemd-coredump</t>
  </si>
  <si>
    <t>systemd Core Dumper</t>
  </si>
  <si>
    <t>systemd-resolve</t>
  </si>
  <si>
    <t>systemd Resolver</t>
  </si>
  <si>
    <t>tss</t>
  </si>
  <si>
    <t>Account used for TPM access</t>
  </si>
  <si>
    <t>polkitd</t>
  </si>
  <si>
    <t>User for polkitd</t>
  </si>
  <si>
    <t>unbound</t>
  </si>
  <si>
    <t>Unbound DNS resolver</t>
  </si>
  <si>
    <t>sssd</t>
  </si>
  <si>
    <t>User for sssd</t>
  </si>
  <si>
    <t>sshd</t>
  </si>
  <si>
    <t>Privilege-separated SSH</t>
  </si>
  <si>
    <t>Zabbix Monitoring System</t>
  </si>
  <si>
    <t>/var/lib/zabbix</t>
  </si>
  <si>
    <t>pmp</t>
  </si>
  <si>
    <t>It is Password Manager Pro user</t>
  </si>
  <si>
    <t>/home/pmp</t>
  </si>
  <si>
    <t>OS Description</t>
  </si>
  <si>
    <t>Environment</t>
  </si>
  <si>
    <t>ssh known hosts</t>
  </si>
  <si>
    <t>Security Comments</t>
  </si>
  <si>
    <t>/dev/null</t>
  </si>
  <si>
    <t>/etc/unbound</t>
  </si>
  <si>
    <t>/bin</t>
  </si>
  <si>
    <t>/sbin</t>
  </si>
  <si>
    <t>/var/adm</t>
  </si>
  <si>
    <t>/var/spool/lpd</t>
  </si>
  <si>
    <t>/var/spool/mail</t>
  </si>
  <si>
    <t>/</t>
  </si>
  <si>
    <t>/var/empty/sshd</t>
  </si>
  <si>
    <t>Source Name</t>
  </si>
  <si>
    <t>Destination Name</t>
  </si>
  <si>
    <t>Interface Name</t>
  </si>
  <si>
    <t>Owner Comments</t>
  </si>
  <si>
    <t>N/A</t>
  </si>
  <si>
    <t>games</t>
  </si>
  <si>
    <t>ftp</t>
  </si>
  <si>
    <t>default</t>
  </si>
  <si>
    <t>1403/12/14</t>
  </si>
  <si>
    <t>ens192</t>
  </si>
  <si>
    <t>0 5 * * * /usr/sbin/aide --check</t>
  </si>
  <si>
    <t>0 10 * * * /root/email.sh &gt;&gt; /tmp/sendmail.log</t>
  </si>
  <si>
    <t>/usr/games</t>
  </si>
  <si>
    <t>FTP User</t>
  </si>
  <si>
    <t>/var/ftp</t>
  </si>
  <si>
    <t>libstoragemgmt</t>
  </si>
  <si>
    <t>daemon account for libstoragemgmt</t>
  </si>
  <si>
    <t>/var/run/lsm</t>
  </si>
  <si>
    <t>setroubleshoot</t>
  </si>
  <si>
    <t>/var/lib/setroubleshoot</t>
  </si>
  <si>
    <t>cockpit-ws</t>
  </si>
  <si>
    <t>User for cockpit web service</t>
  </si>
  <si>
    <t>/nonexisting</t>
  </si>
  <si>
    <t>cockpit-wsinstance</t>
  </si>
  <si>
    <t>User for cockpit-ws instances</t>
  </si>
  <si>
    <t>pesign</t>
  </si>
  <si>
    <t>Group for the pesign signing daemon</t>
  </si>
  <si>
    <t>/run/pesign</t>
  </si>
  <si>
    <t>RHEL 8 : python3.11 (RHSA-2024:10979): Update the RHEL python3.11 package based on the guidance in RHSA-2024:10979.</t>
  </si>
  <si>
    <t>RHEL 8 / 9 : java-1.8.0-openjdk (RHSA-2024:8117): Update the RHEL java-1.8.0-openjdk package based on the guidance in RHSA-2024:8117.</t>
  </si>
  <si>
    <t>OpenJDK 8 &lt;= 8u432 / 11.0.0 &lt;= 11.0.25 / 17.0.0 &lt;= 17.0.13 / 21.0.0 &lt;= 21.0.5 / 23.0.0 &lt;= 23.0.1 Vulnerability (2025-01-21): Upgrade to an OpenJDK version greater than 8u432 / 11.0.25 / 17.0.13 / 21.0.5 / 23.0.1</t>
  </si>
  <si>
    <t>RHEL 8 : expat (RHSA-2024:9502): Update the RHEL expat package based on the guidance in RHSA-2024:9502.</t>
  </si>
  <si>
    <t>RHEL 8 : virt:rhel and virt-devel:rhel (RHSA-2024:6964): Update the RHEL virt:rhel / virt-devel:rhel packages based on the guidance in RHSA-2024:6964.</t>
  </si>
  <si>
    <t>RHEL 8 : python3 (RHSA-2024:6975): Update the RHEL python3 package based on the guidance in RHSA-2024:6975.</t>
  </si>
  <si>
    <t>RHEL 8 : linux-firmware (RHSA-2024:7481): Update the RHEL linux-firmware package based on the guidance in RHSA-2024:7481.</t>
  </si>
  <si>
    <t>RHEL 8 : libsoup (RHSA-2025:0838): Update the RHEL libsoup package based on the guidance in RHSA-2025:0838.</t>
  </si>
  <si>
    <t>RHEL 8 : emacs (RHSA-2024:6987): Update the RHEL emacs package based on the guidance in RHSA-2024:6987.</t>
  </si>
  <si>
    <t>RHEL 8 : unbound (RHSA-2025:0837): Update the RHEL unbound package based on the guidance in RHSA-2025:0837.</t>
  </si>
  <si>
    <t>RHEL 8 : pam (RHSA-2024:10379): Update the RHEL pam package based on the guidance in RHSA-2024:10379.</t>
  </si>
  <si>
    <t>RHEL 8 : bind (RHSA-2024:5524): Update the RHEL bind package based on the guidance in RHSA-2024:5524.</t>
  </si>
  <si>
    <t>RHEL 8 : rsync (RHSA-2025:0325): Update the RHEL rsync package based on the guidance in RHSA-2025:0325.</t>
  </si>
  <si>
    <t>Done</t>
  </si>
  <si>
    <t xml:space="preserve">گروه ارزیابی امنیتی و امن‌سازی سامانه های CT
شرکت 
آدرس: </t>
  </si>
  <si>
    <t>NUM</t>
  </si>
  <si>
    <t>Risk Severity</t>
  </si>
  <si>
    <t>Component</t>
  </si>
  <si>
    <t>Installed version</t>
  </si>
  <si>
    <t>Fixed version</t>
  </si>
  <si>
    <t xml:space="preserve">Missing patch </t>
  </si>
  <si>
    <t>Remote package installed</t>
  </si>
  <si>
    <t>Should be</t>
  </si>
  <si>
    <t>C:\Program Files\dotnet\shared\Microsoft.NetCore.App\6.0.31\</t>
  </si>
  <si>
    <t>CVE-2023-38545</t>
  </si>
  <si>
    <t>libcurl 7.69 &lt; 8.4.0 Heap Buffer Overflow</t>
  </si>
  <si>
    <t>The version of libcurl installed on the remote host is affected by a heap based buffer overflow in the SOCKS5 proxy handshake.
When curl is asked to pass along the hostname to the SOCKS5 proxy to allow that to resolve the address instead of it getting done by curl itself, the maximum length that hostname can be is 255 bytes.
If the hostname is detected to be longer than 255 bytes, curl switches to local name resolving and instead passes on the resolved address only to the proxy. Due to a bug, the local variable that means 'let the host resolve the name'
could get the wrong value during a slow SOCKS5 handshake, and contrary to the intention, copy the too long hostname to the target buffer instead of copying just the resolved address there.
Note that Nessus has not tested for this issue but has instead relied only on the application's self-reported version number.</t>
  </si>
  <si>
    <t>Upgrade libcurl to version 8.4.0 or later</t>
  </si>
  <si>
    <t>7.80.0.0</t>
  </si>
  <si>
    <t>8.4.0</t>
  </si>
  <si>
    <t>c:\program files\sf\edr\agent\bin\libcurl.dll</t>
  </si>
  <si>
    <t>CVE-2024-38081</t>
  </si>
  <si>
    <t>Security Update for Microsoft .NET Core (July 2024)</t>
  </si>
  <si>
    <t>The version of tested product installed on the remote host is prior to tested version. It is, therefore, affected by a vulnerability as referenced in the vendor advisory.
- .NET, .NET Framework, and Visual Studio Elevation of Privilege Vulnerability (CVE-2024-38081)
Note that Nessus has not tested for these issues but has instead relied only on the application's self-reported version number.</t>
  </si>
  <si>
    <t>Update .NET Core, remove vulnerable packages and refer to vendor advisory.</t>
  </si>
  <si>
    <t>6.0.31.33720</t>
  </si>
  <si>
    <t>6.0.32</t>
  </si>
  <si>
    <t>CVE-2024-38229,CVE-2024-43483,CVE-2024-43484,CVE-2024-43485</t>
  </si>
  <si>
    <t>Security Update for Microsoft .NET Core (October 2024)</t>
  </si>
  <si>
    <t>The version of tested product installed on the remote host is prior to tested version. It is, therefore, affected by multiple vulnerabilities as referenced in the vendor advisory.
- .NET and Visual Studio Remote Code Execution Vulnerability (CVE-2024-38229)
- .NET and Visual Studio Denial of Service Vulnerability (CVE-2024-43483,CVE-2024-43484,CVE-2024-43485)
Note that Nessus has not tested for these issues but has instead relied only on the application's self-reported version number.</t>
  </si>
  <si>
    <t>6.0.35</t>
  </si>
  <si>
    <t>CVE-2025-22230</t>
  </si>
  <si>
    <t>VMware Tools 11.x / 12.x &lt; 12.5.1 Authentication Bypass (VMSA-2025-0005)</t>
  </si>
  <si>
    <t>The version of VMware Tools installed on the remote Windows host is 11.x or 12.x prior to 12.5.1. It is, therefore, affected by an authentication bypass vulnerability:
- VMware Tools for Windows contains an authentication bypass vulnerability due to improper access control. A malicious actor with non-administrative privileges on a guest VM may gain ability to perform certain high privilege operations within that VM. (CVE-2025-22230)
Note that Nessus has not tested for this issue but has instead relied only on the application's self-reported version number.</t>
  </si>
  <si>
    <t>Upgrade to VMware Tools version 12.5.1 or later.</t>
  </si>
  <si>
    <t>12.4.0.48309</t>
  </si>
  <si>
    <t>12.5.1</t>
  </si>
  <si>
    <t>C:\Program Files\VMware\VMware Tools\</t>
  </si>
  <si>
    <t>CVE-2025-22247</t>
  </si>
  <si>
    <t>VMware Tools 11.x / 12.x &lt; 12.5.2 Insecure File Handling (VMSA-2025-0007)</t>
  </si>
  <si>
    <t>The version of VMware Tools installed on the remote host is 11.x or 12.x prior to 12.5.2. It is, therefore, affected by an insecure file handling vulnerability:
- VMware Tools contains an insecure file handling vulnerability. A malicious actor with non-administrative privileges on a guest VM may tamper the local files to trigger insecure file operations within that VM. (CVE-2025-22247)
Note that Nessus has not tested for this issue but has instead relied only on the application's self-reported version number.</t>
  </si>
  <si>
    <t>Upgrade to VMware Tools version 12.5.2 or later.</t>
  </si>
  <si>
    <t>12.5.2</t>
  </si>
  <si>
    <t>CVE-2013-3900</t>
  </si>
  <si>
    <t>WinVerifyTrust Signature Validation CVE-2013-3900 Mitigation (EnableCertPaddingCheck)</t>
  </si>
  <si>
    <t>The remote system may be in a vulnerable state to CVE-2013-3900 due to a missing or misconfigured registry keys:
- HKEY_LOCAL_MACHINE\Software\Microsoft\Cryptography\Wintrust\Config\EnableCertPaddingCheck
- HKEY_LOCAL_MACHINE\Software\Wow6432Node\Microsoft\Cryptography\Wintrust\Config\EnableCertPaddingCheck An unauthenticated, remote attacker could exploit this, by sending specially crafted requests, to execute arbitrary code on an affected host.</t>
  </si>
  <si>
    <t>Add and enable registry value EnableCertPaddingCheck:</t>
  </si>
  <si>
    <t>CVE-2017-5715,CVE-2017-5753,CVE-2017-5754,CVE-2018-11091,CVE-2018-12126,CVE-2018-12127,CVE-2018-12130,CVE-2018-3615,CVE-2018-3620,CVE-2018-3639,CVE-2018-3640,CVE-2018-3646,CVE-2019-11091,CVE-2019-11135,CVE-2022-0001</t>
  </si>
  <si>
    <t>Windows Speculative Execution Configuration Check</t>
  </si>
  <si>
    <t>The remote host has not properly mitigated a series of known speculative execution vulnerabilities. It, therefore, may be affected by :
- Branch Target Injection (BTI) (CVE-2017-5715)
- Bounds Check Bypass (BCB) (CVE-2017-5753)
- Rogue Data Cache Load (RDCL) (CVE-2017-5754)
- Rogue System Register Read (RSRE) (CVE-2018-3640)
- Speculative Store Bypass (SSB) (CVE-2018-3639)
- L1 Terminal Fault (L1TF) (CVE-2018-3615, CVE-2018-3620, CVE-2018-3646)
- Microarchitectural Data Sampling Uncacheable Memory (MDSUM) (CVE-2019-11091)
- Microarchitectural Store Buffer Data Sampling (MSBDS) (CVE-2018-12126)
- Microarchitectural Load Port Data Sampling (MLPDS) (CVE-2018-12127)
- Microarchitectural Fill Buffer Data Sampling (MFBDS) (CVE-2018-12130)
- TSX Asynchronous Abort (TAA) (CVE-2019-11135)
- Intel Branch History Injection (BHI) (CVE-2022-0001)</t>
  </si>
  <si>
    <t>Apply vendor recommended settings.</t>
  </si>
  <si>
    <t>CVE-2024-7264</t>
  </si>
  <si>
    <t>libcurl 7.32.0 &lt; 8.9.1 DoS (CVE-2024-7264)</t>
  </si>
  <si>
    <t>The version of libcurl installed on the remote host is between 7.32.0 and prior to 8.9.1. It is, therefore, affected by a denial of service (DoS) vulnerability. libcurl's ASN1 parser code has the GTime2str() function, used for parsing an ASN.1 Generalized Time field. If given an syntactically incorrect field, the parser might end up using -1 for the length of the time fraction, leading to a strlen() getting performed on a pointer to a heap buffer area that is not (purposely) null terminated. This flaw most likely leads to a crash, but can also lead to heap contents getting returned to the application when CURLINFO_CERTINFO is used.
Note that Nessus has not tested for this issue but has instead relied only on the application's self-reported version number.</t>
  </si>
  <si>
    <t>Upgrade Curl to version 8.9.1 or later</t>
  </si>
  <si>
    <t>8.9.1</t>
  </si>
  <si>
    <t>CVE-2023-38546</t>
  </si>
  <si>
    <t>libcurl 7.9.1 &lt; 8.4.0 Cookie Injection</t>
  </si>
  <si>
    <t>The version of libcurl installed on the remote host is affected by a cookie injection vulnerability. This flaw allows an attacker to insert cookies at will into a running program using libcurl, if the specific series of conditions are met.
libcurl performs transfers. In its API, an application creates 'easy handles' that are the individual handles for single transfers.
libcurl provides a function call that duplicates an easy handle called curl_easy_duphandle.
If a transfer has cookies enabled when the handle is duplicated, the cookie-enable state is also cloned - but without cloning the actual cookies. If the source handle did not read any cookies from a specific file on disk, the cloned version of the handle would instead store the file name as none (using the four ASCII letters, no quotes).
Subsequent use of the cloned handle that does not explicitly set a source to load cookies from would then inadvertently load cookies from a file named none - if such a file exists and is readable in the current directory of the program using libcurl. And if using the correct file format of course.
Note that Nessus has not tested for this issue but has instead relied only on the application's self-reported version number.</t>
  </si>
  <si>
    <t>Policy Value</t>
  </si>
  <si>
    <t>Result</t>
  </si>
  <si>
    <t xml:space="preserve">گزارش ارزیابی امنیتی سیستم عامل های سامانه </t>
  </si>
  <si>
    <t>Third-Party Advice</t>
  </si>
  <si>
    <t>Advice Type</t>
  </si>
  <si>
    <t>Security Reviews</t>
  </si>
  <si>
    <t>لطفا قبل از اعمال تغییرات به نکات زیر توجه فرمایید.</t>
  </si>
  <si>
    <t>تمام تست های انجام شده مطابق با استاندار های بیان شده  در Benchmark های CIS  می باشد.</t>
  </si>
  <si>
    <t>در صورت نیاز به بروز رسانی یا اعمال تغییرات در راستای امن سازی حتما نسخه پشتیبان از سرویس مورد نظر  تهیه شود.</t>
  </si>
  <si>
    <t xml:space="preserve"> هر یک از موارد امن سازی باید توسط ادمین سرویس، مورد بررسی قرار بگیرد و سپس با صلاح دید ادمین و با آگاهی از  عواقب احتمالی، تغییرات اعمال شود.</t>
  </si>
  <si>
    <t>در صورت عدم اعمال تغییرات جهت امن سازی دلایل آن به صورت دقیق و شفاف در قسمت کامنت ذکر گردد.</t>
  </si>
  <si>
    <t>No.</t>
  </si>
  <si>
    <t>Undone</t>
  </si>
  <si>
    <t>Missing Evidence</t>
  </si>
  <si>
    <t>Manual Review</t>
  </si>
  <si>
    <t>Inprogress</t>
  </si>
  <si>
    <t>Audit 01</t>
  </si>
  <si>
    <t>فقط دو ستون زیر مربوط به ادمین سیستم است و باید تغییر داده شود</t>
  </si>
  <si>
    <t>CIS_Debian_Linux_10_Benchmark_v2.0.0_ARCHIVE</t>
  </si>
  <si>
    <t>Audit 02</t>
  </si>
  <si>
    <t xml:space="preserve">No. </t>
  </si>
  <si>
    <t>Title|Name Testcase</t>
  </si>
  <si>
    <t>Info|Description</t>
  </si>
  <si>
    <t>Check</t>
  </si>
  <si>
    <t>Fix|Solution</t>
  </si>
  <si>
    <t>Auditor's Status</t>
  </si>
  <si>
    <t>Auditor's Comment</t>
  </si>
  <si>
    <t xml:space="preserve"> Owner's Status</t>
  </si>
  <si>
    <t>Owner's Comment</t>
  </si>
  <si>
    <t>Auditor's Status2</t>
  </si>
  <si>
    <t>Auditor's Comment2</t>
  </si>
  <si>
    <t xml:space="preserve"> Owner's Status2</t>
  </si>
  <si>
    <t>Owner's Comment2</t>
  </si>
  <si>
    <t>1.1.1.1 Ensure mounting of cramfs filesystems is disabled</t>
  </si>
  <si>
    <t>The cramfs filesystem type is a compressed read-only Linux filesystem embedded in
small footprint systems. A cramfs image can be used without having to first decompress
the image.</t>
  </si>
  <si>
    <t>Run the following script to verify the cramfs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#!/usr/bin/env bash
{
   l_output="" l_output2="" l_output3="" l_dl="" # Unset output variables
   l_mname="cramfs"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t>
  </si>
  <si>
    <t>Run the following script to disable the cramfs module:
If the module is available in the running kernel:
   •   Create a file with install cramfs /bin/false in the /etc/modprobe.d/ directory
   •   Create a file with blacklist cramfs in the /etc/modprobe.d/ directory
   •   Unload cramfs from the kernel
If available in ANY installed kernel:
   •   Create a file with blacklist cramfs in the /etc/modprobe.d/ directory
If the kernel module is not available on the system or pre-compiled into the kernel:
   •   No remediation is necessary
#!/usr/bin/env bash
{
    l_mname="cramfs"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</si>
  <si>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If cramfs is available in any installed kernel, it must not be loaded and must be disabled/deny-listed according to the CIS audit requirements. If the module is unavailable, no additional configuration is required.</t>
  </si>
  <si>
    <t>Check Command 1: ls -l ../../lib/modules/4.14.151-OpenNetworkLinux+/kernel/fs/cramfs
Relevant Returned Output:
ls: cannot access '../../lib/modules/4.14.151-OpenNetworkLinux+/kernel/fs/cramfs': No such file or directory
Check Command 2: ls -l ../../lib/modules/4.19.81-OpenNetworkLinux+/kernel/fs/cramfs
Relevant Returned Output:
ls: cannot access '../../lib/modules/4.19.81-OpenNetworkLinux+/kernel/fs/cramfs': No such file or directory</t>
  </si>
  <si>
    <t>cramfs kernel module path was not present in either checked installed kernel tree.</t>
  </si>
  <si>
    <t>Check Command: Not collected for this testcase
Observed Result:
No direct output collected.</t>
  </si>
  <si>
    <t>6.1.12 Ensure no unowned or ungrouped files or directories exist</t>
  </si>
  <si>
    <t>Administrators may delete users or groups from the system and neglect to remove all
files and/or directories owned by those users or groups.</t>
  </si>
  <si>
    <t>Run the following script to verify no unowned or ungrouped files or directories exist:
#!/usr/bin/env bash
{
   l_output="" l_output2=""
   a_path=(); a_arr=(); a_nouser=(); a_nogroup=() # Initialize arrays
   a_path=(! -path "/run/user/*" -a ! -path "/proc/*" -a ! -path
"*/containerd/*" -a ! -path "*/kubelet/pods/*")
   while read -r l_bfs; do
       a_path+=( -a ! -path ""$l_bfs"/*")
   done &lt; &lt;(findmnt -Dkerno fstype,target | awk '$1 ~ /^\s*(nfs|proc|smb)/
{print $2}')
   while IFS= read -r -d $'\0' l_file; do
       [ -e "$l_file" ] &amp;&amp; a_arr+=("$(stat -Lc '%n^%U^%G' "$l_file")") &amp;&amp; echo
"Adding: $l_file"
   done &lt; &lt;(find / \( "${a_path[@]}" \) \( -type f -o -type d \) \( -nouser -
o -nogroup \) -print0 2&gt; /dev/null)
   while IFS="^" read -r l_fname l_user l_group; do # Test files in the array
       [ "$l_user" = "UNKNOWN" ] &amp;&amp; a_nouser+=("$l_fname")
       [ "$l_group" = "UNKNOWN" ] &amp;&amp; a_nogroup+=("$l_fname")
   done &lt;&lt;&lt; "$(printf '%s\n' "${a_arr[@]}")"
   if ! (( ${#a_nouser[@]} &gt; 0 )); then
       l_output="$l_output\n - No unowned files or directories exist on the
local filesystem."
   else
       l_output2="$l_output2\n - There are \"$(printf '%s'
"${#a_nouser[@]}")\" unowned files or directories on the system.\n    - The
following is a list of unowned files and/or directories:\n$(printf '%s\n'
"${a_nouser[@]}")\n    - end of list"
   fi
   if ! (( ${#a_nogroup[@]} &gt; 0 )); then
       l_output="$l_output\n - No ungrouped files or directories exist on the
local filesystem."
   else
       l_output2="$l_output2\n - There are \"$(printf '%s'
"${#a_nogroup[@]}")\" ungrouped files or directories on the system.\n    - The
following is a list of ungrouped files and/or directories:\n$(printf '%s\n'
"${a_nogroup[@]}")\n    - end of list"
   fi
   unset a_path; unset a_arr ; unset a_nouser; unset a_nogroup # Remove
arrays
   if [ -z "$l_output2" ]; then # If l_output2 is empty, we pass
       echo -e "\n- Audit Result:\n ** PASS **\n - * Correctly configured *
:\n$l_output\n"
   else
       echo -e "\n- Audit Result:\n ** FAIL **\n - * Reasons for audit
failure * :\n$l_output2"
       [ -n "$l_output" ] &amp;&amp; echo -e "\n- * Correctly configured *
:\n$l_output\n"
   fi
}
Note: On systems with a large number of files and/or directories, this audit may be a
long running process</t>
  </si>
  <si>
    <t>Remove or set ownership and group ownership of these files and/or directories to an
active user on the system as appropriate.</t>
  </si>
  <si>
    <t>no unowned or ungrouped files or directories exist</t>
  </si>
  <si>
    <t>A filesystem-wide search for unowned or ungrouped files and directories was not collected.</t>
  </si>
  <si>
    <t>6.1.13 Ensure SUID and SGID files are reviewed</t>
  </si>
  <si>
    <t>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t>
  </si>
  <si>
    <t>Run the following script to generate a list of SUID and SGID files:
#!/usr/bin/env bash
{
   l_output="" l_output2=""
   a_arr=(); a_suid=(); a_sgid=() # initialize arrays
   # Populate array with files that will possibly fail one of the audits
   while read -r l_mpname; do
      while IFS= read -r -d $'\0' l_file; do
         [ -e "$l_file" ] &amp;&amp; a_arr+=("$(stat -Lc '%n^%#a' "$l_file")")
      done &lt; &lt;(find "$l_mpname" -xdev -not -path "/run/user/*" -type f \( -
perm -2000 -o -perm -4000 \) -print0)
   done &lt;&lt;&lt; "$(findmnt -Derno target)"
   # Test files in the array
   while IFS="^" read -r l_fname l_mode; do
      if [ -f "$l_fname" ]; then
         l_suid_mask="04000"; l_sgid_mask="02000"
         [ $(( $l_mode &amp; $l_suid_mask )) -gt 0 ] &amp;&amp; a_suid+=("$l_fname")
         [ $(( $l_mode &amp; $l_sgid_mask )) -gt 0 ] &amp;&amp; a_sgid+=("$l_fname")
      fi
   done &lt;&lt;&lt; "$(printf '%s\n' "${a_arr[@]}")"
   if ! (( ${#a_suid[@]} &gt; 0 )); then
      l_output="$l_output\n - There are no SUID files exist on the system"
   else
      l_output2="$l_output2\n - List of \"$(printf '%s' "${#a_suid[@]}")\"
SUID executable files:\n$(printf '%s\n' "${a_suid[@]}")\n - end of list -\n"
   fi
   if ! (( ${#a_sgid[@]} &gt; 0 )); then
      l_output="$l_output\n - There are no SGID files exist on the system"
   else
      l_output2="$l_output2\n - List of \"$(printf '%s' "${#a_sgid[@]}")\"
SGID executable files:\n$(printf '%s\n' "${a_sgid[@]}")\n - end of list -\n"
   fi
   [ -n "$l_output2" ] &amp;&amp; l_output2="$l_output2\n- Review the preceding
list(s) of SUID and/or SGID files to\n- ensure that no rogue programs have
been introduced onto the system.\n"
   unset a_arr; unset a_suid; unset a_sgid # Remove arrays
   # If l_output2 is empty, Nothing to report
   if [ -z "$l_output2" ]; then
      echo -e "\n- Audit Result:\n$l_output\n"
   else
      echo -e "\n- Audit Result:\n$l_output2\n"
      [ -n "$l_output" ] &amp;&amp; echo -e "$l_output\n"
   fi
}
Note: on systems with a large number of files, this may be a long running process</t>
  </si>
  <si>
    <t>Ensure that no rogue SUID or SGID programs have been introduced into the system.
Review the files returned by the action in the Audit section and confirm the integrity of
these binaries.</t>
  </si>
  <si>
    <t>SUID and SGID files are reviewed</t>
  </si>
  <si>
    <t>An inventory of SUID and SGID files was not collected for manual review.</t>
  </si>
  <si>
    <t>6.2.1 Ensure accounts in /etc/passwd use shadowed passwords</t>
  </si>
  <si>
    <t>Local accounts can uses shadowed passwords. With shadowed passwords, The
passwords are saved in shadow password file, /etc/shadow, encrypted by a salted one-
way hash. Accounts with a shadowed password have an x in the second field in
/etc/passwd.</t>
  </si>
  <si>
    <t>Run the following command and verify that no output is returned:
# awk -F: '($2 != "x" ) { print $1 " is not set to shadowed passwords "}'
/etc/passwd</t>
  </si>
  <si>
    <t>Run the following command to set accounts to use shadowed passwords:
# sed -e 's/^\([a-zA-Z0-9_]*\):[^:]*:/\1:x:/' -i /etc/passwd
Investigate to determine if the account is logged in and what it is being used for, to
determine if it needs to be forced off.</t>
  </si>
  <si>
    <t>accounts in /etc/passwd use shadowed passwords</t>
  </si>
  <si>
    <t>Check Command 1: cat ../../etc/passwd
Relevant Returned Output:
All 25 passwd entries use 'x' in the password field.</t>
  </si>
  <si>
    <t>All 25 passwd entries use 'x' in the password field.</t>
  </si>
  <si>
    <t>6.2.2 Ensure /etc/shadow password fields are not empty</t>
  </si>
  <si>
    <t>An account with an empty password field means that anybody may log in as that user
without providing a password.</t>
  </si>
  <si>
    <t>Run the following command and verify that no output is returned:
# awk -F: '($2 == "" ) { print $1 " does not have a password "}' /etc/shadow</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</si>
  <si>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</si>
  <si>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/etc/shadow password fields are not empty</t>
  </si>
  <si>
    <t>Password fields from /etc/shadow were not collected, so empty-password fields cannot be verified.</t>
  </si>
  <si>
    <t>6.2.3 Ensure all groups in /etc/passwd exist in /etc/group</t>
  </si>
  <si>
    <t>Over time, system administration errors and changes can lead to groups being defined
in /etc/passwd but not in /etc/group .</t>
  </si>
  <si>
    <t>Run the following script and verify no results are returned:
#!/bin/bash
for i in $(cut -s -d: -f4 /etc/passwd | sort -u ); do
  grep -q -P "^.*?:[^:]*:$i:" /etc/group
  if [ $? -ne 0 ]; then
     echo "Group $i is referenced by /etc/passwd but does not exist in
/etc/group"
  fi
done</t>
  </si>
  <si>
    <t>Analyze the output of the Audit step above and perform the appropriate action to correct
any discrepancies found.</t>
  </si>
  <si>
    <t>all groups in /etc/passwd exist in /etc/group</t>
  </si>
  <si>
    <t>Check Command 1: cat ../../etc/passwd
Relevant Returned Output:
Every passwd primary GID exists in /etc/group.
Every passwd primary GID exists in /etc/group.
Check Command 2: cat ../../etc/group
Relevant Returned Output:
Every passwd primary GID exists in /etc/group.
Every passwd primary GID exists in /etc/group.</t>
  </si>
  <si>
    <t>Every passwd primary GID exists in /etc/group.</t>
  </si>
  <si>
    <t>Package</t>
  </si>
  <si>
    <t>Security comment</t>
  </si>
  <si>
    <t>acpid|1:2.0.31-1|amd64</t>
  </si>
  <si>
    <t>adduser|3.118|all</t>
  </si>
  <si>
    <t>apt|1.8.2.3|amd64</t>
  </si>
  <si>
    <t>apt-utils|1.8.2.3|amd64</t>
  </si>
  <si>
    <t>gdb|8.2.1-2+b3|amd64</t>
  </si>
  <si>
    <t>gdb is installed on the production appliance. It is a debugging tool and may expose process memory or application internals to an authorized privileged user. Confirm that it is required for vendor troubleshooting; otherwise consider removing it from the production image.</t>
  </si>
  <si>
    <t>grub2-common|2.06-3~deb10u4|amd64</t>
  </si>
  <si>
    <t>gzip|1.9-3+deb10u1|amd64</t>
  </si>
  <si>
    <t>hddtemp|0.3-beta15-53|amd64</t>
  </si>
  <si>
    <t>hostname|3.21|amd64</t>
  </si>
  <si>
    <t>hping3|3.a2.ds2-7|amd64</t>
  </si>
  <si>
    <t>hping3 is installed on the appliance. This tool can generate crafted network traffic and is commonly used for network testing and troubleshooting. Confirm that it is required for vendor support or operational diagnostics; otherwise consider removing it from the production image.</t>
  </si>
  <si>
    <t>htop|2.2.0-1+b1|amd64</t>
  </si>
  <si>
    <t>startpar|0.61-1|amd64</t>
  </si>
  <si>
    <t>strace|4.26-0.2|amd64</t>
  </si>
  <si>
    <t>strace is installed. It is useful for troubleshooting but can expose process arguments, file access and runtime activity to privileged users. Confirm the operational requirement for retaining it on the production appliance.</t>
  </si>
  <si>
    <t>sudo|1.8.27-1+deb10u6|amd64</t>
  </si>
  <si>
    <t>sysstat|12.0.3-2+deb10u2|amd64</t>
  </si>
  <si>
    <t>sysv-rc|2.93-8|all</t>
  </si>
  <si>
    <t>sysvinit-core|2.93-8|amd64</t>
  </si>
  <si>
    <t>sysvinit-utils|2.93-8|amd64</t>
  </si>
  <si>
    <t>tacacs|0.0.3|amd64</t>
  </si>
  <si>
    <t>tar|1.30+dfsg-6+deb10u1|amd64</t>
  </si>
  <si>
    <t>tcpdump|4.9.3-1~deb10u2|amd64</t>
  </si>
  <si>
    <t>tcpdump is installed. Packet capture is useful for network troubleshooting but can expose network traffic and protocol data to privileged users. Confirm that the package is required for operational diagnostics and that its use is restricted to authorized administrators.</t>
  </si>
  <si>
    <t>telnet|0.17-41.2|amd64</t>
  </si>
  <si>
    <t>The Telnet client is installed. If Telnet is not required for operational support or legacy interoperability, remove the package to reduce use of cleartext remote-access protocols.</t>
  </si>
  <si>
    <t>telnetd|0.17-41.2|amd64</t>
  </si>
  <si>
    <t>telnetd is installed and TCP/23 is listening on the appliance. Telnet provides unencrypted remote access and exposes credentials and session data in cleartext. Confirm that the service is operationally required; otherwise disable and remove it in favor of SSH.</t>
  </si>
  <si>
    <t>tmux|2.8-3+deb10u1|amd64</t>
  </si>
  <si>
    <t>vim-tiny|2:8.1.0875-5+deb10u6|amd64</t>
  </si>
  <si>
    <t>watchdog|5.15-2|amd64</t>
  </si>
  <si>
    <t>wget|1.20.1-1.1|amd64</t>
  </si>
  <si>
    <t>xinetd|1:2.3.15.3-1|amd64</t>
  </si>
  <si>
    <t>xinetd is installed. Confirm whether it is required to manage any active legacy network service, including Telnet. If no xinetd-managed service is required, remove or disable it.</t>
  </si>
  <si>
    <t>xxd|2:8.1.0875-5+deb10u6|amd64</t>
  </si>
  <si>
    <t>migration/1</t>
  </si>
  <si>
    <t>watchdog/1</t>
  </si>
  <si>
    <t>cpuhp/1</t>
  </si>
  <si>
    <t>cpuhp/0</t>
  </si>
  <si>
    <t>watchdog/0</t>
  </si>
  <si>
    <t>migration/0</t>
  </si>
  <si>
    <t>rcu_sched</t>
  </si>
  <si>
    <t>ksoftirqd/0</t>
  </si>
  <si>
    <t>rcu_tasks_trace</t>
  </si>
  <si>
    <t>rcu_tasks_rude_</t>
  </si>
  <si>
    <t>mm_percpu_wq</t>
  </si>
  <si>
    <t>kworker/u64:0-netns</t>
  </si>
  <si>
    <t>kworker/0:0H-events_highpri</t>
  </si>
  <si>
    <t>slub_flushwq</t>
  </si>
  <si>
    <t>rcu_par_gp</t>
  </si>
  <si>
    <t>rcu_gp</t>
  </si>
  <si>
    <t>kthreadd</t>
  </si>
  <si>
    <t>systemd</t>
  </si>
  <si>
    <t>The XXXXX account has primary GID 0 and is therefore a member of the root group. This is not equivalent to UID 0, but it grants access to resources permitted to group root. Confirm the business requirement and review the effective group permissions.</t>
  </si>
  <si>
    <t>XXXXXX is explicitly listed as a member of the adm group. The resources accessible through this membership were not enumerated in the collected evidence; confirm that the membership is required.</t>
  </si>
  <si>
    <t>user</t>
  </si>
  <si>
    <t>Security Reviews3</t>
  </si>
  <si>
    <t>Security Reviews2</t>
  </si>
  <si>
    <t>State</t>
  </si>
  <si>
    <t>Destination MAC</t>
  </si>
  <si>
    <t>Neighbor IP</t>
  </si>
  <si>
    <t>ARP</t>
  </si>
  <si>
    <t>Extra</t>
  </si>
  <si>
    <t>Source</t>
  </si>
  <si>
    <t>Out</t>
  </si>
  <si>
    <t>In</t>
  </si>
  <si>
    <t>Opt</t>
  </si>
  <si>
    <t>Target</t>
  </si>
  <si>
    <t>Bytes</t>
  </si>
  <si>
    <t>Packets</t>
  </si>
  <si>
    <t>Chain</t>
  </si>
  <si>
    <t>OS Firewall Rules (IPTABLES P2)</t>
  </si>
  <si>
    <t>Specification</t>
  </si>
  <si>
    <t>Chain/Rule Name</t>
  </si>
  <si>
    <t>Rule Type</t>
  </si>
  <si>
    <t>OS Firewall Rules (IPTABLES P1)</t>
  </si>
  <si>
    <t>Same review required for IPv6 exposure.</t>
  </si>
  <si>
    <t>Likely BFD Echo</t>
  </si>
  <si>
    <t>root/UID 0</t>
  </si>
  <si>
    <t>UNCONN</t>
  </si>
  <si>
    <t>*</t>
  </si>
  <si>
    <t>::</t>
  </si>
  <si>
    <t>udp6</t>
  </si>
  <si>
    <t>Routing-control-plane service; confirm requirement and interface exposure.</t>
  </si>
  <si>
    <t>0.0.0.0</t>
  </si>
  <si>
    <t>udp</t>
  </si>
  <si>
    <t>Unidentified UDP listener; process mapping required.</t>
  </si>
  <si>
    <t>LISTEN</t>
  </si>
  <si>
    <t>tcp6</t>
  </si>
  <si>
    <t>Unidentified wildcard TCP listener. Process mapping required.</t>
  </si>
  <si>
    <t>TCP/179 listener observed on wildcard IPv4. This is consistent with BGP, but peer/session state, authentication and routing policy were not collected. Refer to the Routes sheet for the remaining routing evidence.</t>
  </si>
  <si>
    <t>tcp</t>
  </si>
  <si>
    <t>Identified / Likely Service</t>
  </si>
  <si>
    <t>Inode</t>
  </si>
  <si>
    <t>User</t>
  </si>
  <si>
    <t>Send-Q</t>
  </si>
  <si>
    <t>Recv-Q</t>
  </si>
  <si>
    <t>Active Connections</t>
  </si>
  <si>
    <t>Purpose / Notes</t>
  </si>
  <si>
    <t>Destination Port</t>
  </si>
  <si>
    <t>Source Port</t>
  </si>
  <si>
    <t>VRF Name</t>
  </si>
  <si>
    <t>Connection Matrix</t>
  </si>
  <si>
    <t>Audit 1</t>
  </si>
  <si>
    <t>Audit 2</t>
  </si>
  <si>
    <t>Remediations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</si>
</sst>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4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XB Niloofar"/>
    </font>
    <font>
      <sz val="16"/>
      <color theme="1"/>
      <name val="XB Niloofar"/>
    </font>
    <font>
      <sz val="12"/>
      <color theme="1"/>
      <name val="XB Niloofar"/>
    </font>
    <font>
      <b/>
      <sz val="11"/>
      <color rgb="FF000000"/>
      <name val="XB Niloofar"/>
    </font>
    <font>
      <b/>
      <sz val="12"/>
      <color rgb="FF000000"/>
      <name val="XB Niloofar"/>
    </font>
    <font>
      <sz val="10"/>
      <color theme="1"/>
      <name val="XB Niloofar"/>
    </font>
    <font>
      <sz val="8"/>
      <name val="Calibri"/>
      <family val="2"/>
      <scheme val="minor"/>
    </font>
    <font>
      <b/>
      <sz val="11"/>
      <name val="Calibri"/>
      <family val="2"/>
      <scheme val="minor"/>
    </font>
    <font>
      <b/>
      <sz val="11"/>
      <name val="Calibri"/>
    </font>
    <font>
      <sz val="11"/>
      <color rgb="FFFFFFFF"/>
      <name val="Calibri"/>
    </font>
    <font>
      <sz val="11"/>
      <color rgb="FF000000"/>
      <name val="Calibri"/>
    </font>
    <font>
      <sz val="18"/>
      <color theme="1"/>
      <name val="B Nazanin"/>
      <charset val="178"/>
    </font>
    <font>
      <sz val="11"/>
      <color theme="1"/>
      <name val="Tahoma"/>
      <family val="2"/>
    </font>
    <font>
      <sz val="10"/>
      <color theme="1"/>
      <name val="Times New Roman"/>
      <family val="1"/>
    </font>
    <font>
      <sz val="11"/>
      <color theme="1"/>
      <name val="B Nazanin"/>
      <charset val="178"/>
    </font>
    <font>
      <b/>
      <sz val="14"/>
      <color theme="1"/>
      <name val="B Nazanin"/>
      <charset val="178"/>
    </font>
    <font>
      <b/>
      <sz val="12"/>
      <color theme="0"/>
      <name val="Tahoma"/>
      <family val="2"/>
    </font>
    <font>
      <b/>
      <sz val="11"/>
      <color theme="0"/>
      <name val="Tahoma"/>
      <family val="2"/>
    </font>
    <font>
      <sz val="10"/>
      <color theme="0"/>
      <name val="Times New Roman"/>
      <family val="1"/>
    </font>
    <font>
      <sz val="10"/>
      <color rgb="FF000000"/>
      <name val="Tahoma"/>
      <family val="2"/>
    </font>
    <font>
      <sz val="10"/>
      <color theme="1"/>
      <name val="Tahoma"/>
      <family val="2"/>
    </font>
    <font>
      <sz val="10"/>
      <color theme="1"/>
      <name val="Arial Unicode MS"/>
    </font>
    <font>
      <sz val="11"/>
      <name val="Calibri"/>
      <family val="2"/>
      <scheme val="minor"/>
    </font>
    <font>
      <b/>
      <sz val="16"/>
      <color theme="8" tint="-0.499984740745262"/>
      <name val="Calibri"/>
      <family val="2"/>
      <scheme val="minor"/>
    </font>
    <font>
      <b/>
      <sz val="16"/>
      <color theme="1"/>
      <name val="Calibri"/>
      <family val="2"/>
      <scheme val="minor"/>
    </font>
    <font>
      <b/>
      <sz val="11"/>
      <color rgb="FF9C6500"/>
      <name val="Calibri"/>
      <family val="2"/>
      <scheme val="minor"/>
    </font>
    <font>
      <b/>
      <sz val="16"/>
      <color theme="4" tint="-0.499984740745262"/>
      <name val="Calibri"/>
      <family val="2"/>
      <scheme val="minor"/>
    </font>
    <font>
      <b/>
      <sz val="11"/>
      <name val="Calibri"/>
      <family val="2"/>
    </font>
    <font>
      <sz val="10"/>
      <name val="Arial Unicode MS"/>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
      <patternFill patternType="solid">
        <fgColor rgb="FFFFFF00"/>
        <bgColor indexed="64"/>
      </patternFill>
    </fill>
    <fill>
      <patternFill patternType="solid">
        <fgColor rgb="FF8B0000"/>
      </patternFill>
    </fill>
    <fill>
      <patternFill patternType="solid">
        <fgColor rgb="FFFF0000"/>
      </patternFill>
    </fill>
    <fill>
      <patternFill patternType="solid">
        <fgColor rgb="FFFFA500"/>
      </patternFill>
    </fill>
    <fill>
      <patternFill patternType="solid">
        <fgColor rgb="FFFFFF00"/>
      </patternFill>
    </fill>
    <fill>
      <patternFill patternType="solid">
        <fgColor rgb="FFFFC000"/>
        <bgColor indexed="64"/>
      </patternFill>
    </fill>
    <fill>
      <patternFill patternType="solid">
        <fgColor rgb="FF33CCCC"/>
        <bgColor indexed="64"/>
      </patternFill>
    </fill>
    <fill>
      <patternFill patternType="solid">
        <fgColor rgb="FF92D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00FFFF"/>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rgb="FFFFFFCC"/>
        <bgColor indexed="64"/>
      </patternFill>
    </fill>
    <fill>
      <patternFill patternType="solid">
        <fgColor rgb="FFFFFF66"/>
        <bgColor indexed="64"/>
      </patternFill>
    </fill>
    <fill>
      <patternFill patternType="solid">
        <fgColor theme="5" tint="0.59999389629810485"/>
        <bgColor indexed="64"/>
      </patternFill>
    </fill>
    <fill>
      <patternFill patternType="solid">
        <fgColor rgb="FFFF9999"/>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8" tint="0.79998168889431442"/>
        <bgColor indexed="64"/>
      </patternFill>
    </fill>
  </fills>
  <borders count="4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99999"/>
      </left>
      <right style="thin">
        <color rgb="FF999999"/>
      </right>
      <top style="thin">
        <color rgb="FF999999"/>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style="thin">
        <color indexed="64"/>
      </left>
      <right style="thin">
        <color theme="0"/>
      </right>
      <top style="thin">
        <color theme="0"/>
      </top>
      <bottom style="thin">
        <color theme="0"/>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theme="4" tint="0.39997558519241921"/>
      </right>
      <top style="thin">
        <color indexed="64"/>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5">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16" fillId="0" borderId="0" xfId="0" applyFont="1" applyAlignment="1">
      <alignment horizontal="center" vertical="center"/>
    </xf>
    <xf numFmtId="0" fontId="0" fillId="33" borderId="0" xfId="0" applyFill="1" applyAlignment="1">
      <alignment readingOrder="2"/>
    </xf>
    <xf numFmtId="0" fontId="14" fillId="33" borderId="0" xfId="0" applyFont="1" applyFill="1" applyAlignment="1">
      <alignment readingOrder="2"/>
    </xf>
    <xf numFmtId="0" fontId="19" fillId="33" borderId="0" xfId="0" applyFont="1" applyFill="1" applyAlignment="1">
      <alignment horizontal="center" vertical="center" readingOrder="2"/>
    </xf>
    <xf numFmtId="0" fontId="0" fillId="33" borderId="0" xfId="0" applyFill="1" applyAlignment="1">
      <alignment wrapText="1" readingOrder="2"/>
    </xf>
    <xf numFmtId="0" fontId="21" fillId="33" borderId="0" xfId="0" applyFont="1" applyFill="1" applyAlignment="1">
      <alignment horizontal="left" vertical="center" readingOrder="2"/>
    </xf>
    <xf numFmtId="0" fontId="21" fillId="33" borderId="0" xfId="0" applyFont="1" applyFill="1" applyAlignment="1">
      <alignment horizontal="right" vertical="center" readingOrder="2"/>
    </xf>
    <xf numFmtId="164" fontId="0" fillId="33" borderId="0" xfId="0" applyNumberFormat="1" applyFill="1" applyAlignment="1">
      <alignment readingOrder="2"/>
    </xf>
    <xf numFmtId="0" fontId="22" fillId="33" borderId="0" xfId="0" applyFont="1" applyFill="1" applyAlignment="1">
      <alignment horizontal="right" vertical="center" readingOrder="2"/>
    </xf>
    <xf numFmtId="0" fontId="20" fillId="33" borderId="0" xfId="0" applyFont="1" applyFill="1" applyAlignment="1">
      <alignment horizontal="right" vertical="center" readingOrder="2"/>
    </xf>
    <xf numFmtId="0" fontId="23" fillId="33" borderId="0" xfId="0" applyFont="1" applyFill="1" applyAlignment="1">
      <alignment horizontal="right" vertical="center" readingOrder="2"/>
    </xf>
    <xf numFmtId="0" fontId="0" fillId="0" borderId="0" xfId="0" applyAlignment="1">
      <alignment horizontal="center" vertical="center" wrapText="1"/>
    </xf>
    <xf numFmtId="0" fontId="0" fillId="0" borderId="16" xfId="0" applyBorder="1" applyAlignment="1">
      <alignment horizontal="center" vertical="center"/>
    </xf>
    <xf numFmtId="0" fontId="0" fillId="0" borderId="10" xfId="0" applyBorder="1"/>
    <xf numFmtId="0" fontId="0" fillId="0" borderId="11" xfId="0" applyBorder="1"/>
    <xf numFmtId="0" fontId="0" fillId="0" borderId="12" xfId="0" applyBorder="1"/>
    <xf numFmtId="0" fontId="0" fillId="0" borderId="16" xfId="0" applyBorder="1" applyAlignment="1">
      <alignment horizontal="left" vertical="center" wrapText="1"/>
    </xf>
    <xf numFmtId="0" fontId="16" fillId="0" borderId="16" xfId="0" applyFont="1" applyBorder="1" applyAlignment="1">
      <alignment horizontal="center" vertical="center"/>
    </xf>
    <xf numFmtId="0" fontId="0" fillId="0" borderId="16" xfId="0" applyBorder="1" applyAlignment="1">
      <alignment horizontal="center" vertical="center" wrapText="1"/>
    </xf>
    <xf numFmtId="14" fontId="0" fillId="0" borderId="13" xfId="0" applyNumberFormat="1" applyBorder="1" applyAlignment="1">
      <alignment horizontal="center" vertical="center"/>
    </xf>
    <xf numFmtId="0" fontId="0" fillId="0" borderId="0" xfId="0" applyAlignment="1">
      <alignment horizontal="left" vertical="center"/>
    </xf>
    <xf numFmtId="0" fontId="0" fillId="0" borderId="16" xfId="0" applyBorder="1" applyAlignment="1">
      <alignment horizontal="left" vertical="center"/>
    </xf>
    <xf numFmtId="0" fontId="0" fillId="34" borderId="13" xfId="0" applyFill="1" applyBorder="1"/>
    <xf numFmtId="0" fontId="0" fillId="0" borderId="13" xfId="0" applyBorder="1"/>
    <xf numFmtId="0" fontId="0" fillId="0" borderId="14" xfId="0" applyBorder="1"/>
    <xf numFmtId="0" fontId="0" fillId="0" borderId="15" xfId="0" applyBorder="1"/>
    <xf numFmtId="0" fontId="0" fillId="0" borderId="0" xfId="0" applyAlignment="1">
      <alignment vertical="center" wrapText="1"/>
    </xf>
    <xf numFmtId="0" fontId="0" fillId="0" borderId="0" xfId="0" applyAlignment="1">
      <alignment vertical="top" wrapText="1"/>
    </xf>
    <xf numFmtId="0" fontId="30" fillId="0" borderId="0" xfId="0" applyFont="1" applyAlignment="1">
      <alignment horizontal="center" vertical="center"/>
    </xf>
    <xf numFmtId="0" fontId="30" fillId="0" borderId="0" xfId="0" applyFont="1" applyAlignment="1">
      <alignment horizontal="center" vertical="center" wrapText="1"/>
    </xf>
    <xf numFmtId="1" fontId="31" fillId="0" borderId="0" xfId="0" applyNumberFormat="1" applyFont="1" applyAlignment="1">
      <alignment horizontal="center" vertical="center" wrapText="1"/>
    </xf>
    <xf numFmtId="0" fontId="31" fillId="44" borderId="0" xfId="0" applyFont="1" applyFill="1" applyAlignment="1">
      <alignment horizontal="center" vertical="center" wrapText="1"/>
    </xf>
    <xf numFmtId="0" fontId="31" fillId="34" borderId="0" xfId="0" applyFont="1" applyFill="1" applyAlignment="1">
      <alignment horizontal="center" vertical="center" wrapText="1"/>
    </xf>
    <xf numFmtId="0" fontId="31" fillId="0" borderId="0" xfId="0" applyFont="1" applyAlignment="1">
      <alignment horizontal="center" vertical="center" wrapText="1"/>
    </xf>
    <xf numFmtId="0" fontId="31" fillId="45" borderId="0" xfId="0" applyFont="1" applyFill="1" applyAlignment="1">
      <alignment horizontal="center" vertical="center" wrapText="1"/>
    </xf>
    <xf numFmtId="0" fontId="31" fillId="46" borderId="21" xfId="0" applyFont="1" applyFill="1" applyBorder="1" applyAlignment="1">
      <alignment horizontal="center" vertical="center" wrapText="1"/>
    </xf>
    <xf numFmtId="0" fontId="31" fillId="47" borderId="21" xfId="0" applyFont="1" applyFill="1" applyBorder="1" applyAlignment="1">
      <alignment horizontal="center" vertical="center" wrapText="1"/>
    </xf>
    <xf numFmtId="0" fontId="31" fillId="0" borderId="16" xfId="0" applyFont="1" applyBorder="1" applyAlignment="1">
      <alignment horizontal="center" vertical="center" wrapText="1"/>
    </xf>
    <xf numFmtId="0" fontId="31" fillId="0" borderId="21" xfId="0" applyFont="1" applyBorder="1" applyAlignment="1">
      <alignment horizontal="center" vertical="center" wrapText="1"/>
    </xf>
    <xf numFmtId="0" fontId="31" fillId="0" borderId="19" xfId="0" applyFont="1" applyBorder="1" applyAlignment="1">
      <alignment horizontal="center" vertical="center" wrapText="1"/>
    </xf>
    <xf numFmtId="0" fontId="32" fillId="0" borderId="0" xfId="0" applyFont="1" applyAlignment="1">
      <alignment horizontal="center" vertical="center"/>
    </xf>
    <xf numFmtId="0" fontId="32" fillId="0" borderId="0" xfId="0" applyFont="1" applyAlignment="1">
      <alignment horizontal="center" vertical="center" wrapText="1"/>
    </xf>
    <xf numFmtId="0" fontId="31" fillId="48" borderId="26" xfId="0" applyFont="1" applyFill="1" applyBorder="1" applyAlignment="1">
      <alignment horizontal="center" vertical="center"/>
    </xf>
    <xf numFmtId="0" fontId="34" fillId="49" borderId="0" xfId="0" applyFont="1" applyFill="1" applyAlignment="1">
      <alignment horizontal="center" vertical="center" wrapText="1"/>
    </xf>
    <xf numFmtId="0" fontId="35" fillId="49" borderId="0" xfId="0" applyFont="1" applyFill="1" applyAlignment="1">
      <alignment horizontal="center" vertical="center" wrapText="1"/>
    </xf>
    <xf numFmtId="0" fontId="34" fillId="49" borderId="21" xfId="0" applyFont="1" applyFill="1" applyBorder="1" applyAlignment="1">
      <alignment horizontal="center" vertical="center" wrapText="1"/>
    </xf>
    <xf numFmtId="0" fontId="36" fillId="49" borderId="28" xfId="0" applyFont="1" applyFill="1" applyBorder="1" applyAlignment="1">
      <alignment horizontal="center" vertical="center"/>
    </xf>
    <xf numFmtId="0" fontId="36" fillId="49" borderId="0" xfId="0" applyFont="1" applyFill="1" applyAlignment="1">
      <alignment horizontal="center" vertical="center"/>
    </xf>
    <xf numFmtId="0" fontId="36" fillId="49" borderId="29" xfId="0" applyFont="1" applyFill="1" applyBorder="1" applyAlignment="1">
      <alignment horizontal="center" vertical="center" wrapText="1"/>
    </xf>
    <xf numFmtId="0" fontId="0" fillId="33" borderId="16" xfId="0" applyFill="1" applyBorder="1" applyAlignment="1">
      <alignment horizontal="center" vertical="center" wrapText="1"/>
    </xf>
    <xf numFmtId="0" fontId="0" fillId="0" borderId="16" xfId="0" applyBorder="1" applyAlignment="1">
      <alignment horizontal="left" vertical="top" wrapText="1"/>
    </xf>
    <xf numFmtId="0" fontId="0" fillId="0" borderId="0" xfId="0" applyAlignment="1">
      <alignment wrapText="1"/>
    </xf>
    <xf numFmtId="0" fontId="37" fillId="33" borderId="23" xfId="0" applyFont="1" applyFill="1" applyBorder="1" applyAlignment="1">
      <alignment horizontal="left" vertical="top" wrapText="1"/>
    </xf>
    <xf numFmtId="0" fontId="37" fillId="33" borderId="21" xfId="0" applyFont="1" applyFill="1" applyBorder="1" applyAlignment="1">
      <alignment horizontal="center" vertical="center" wrapText="1"/>
    </xf>
    <xf numFmtId="0" fontId="37" fillId="33" borderId="21" xfId="0" applyFont="1" applyFill="1" applyBorder="1" applyAlignment="1">
      <alignment horizontal="left" vertical="top" wrapText="1"/>
    </xf>
    <xf numFmtId="0" fontId="38" fillId="0" borderId="12" xfId="0" applyFont="1" applyBorder="1" applyAlignment="1">
      <alignment horizontal="center" vertical="center"/>
    </xf>
    <xf numFmtId="0" fontId="38" fillId="0" borderId="21" xfId="0" applyFont="1" applyBorder="1" applyAlignment="1">
      <alignment horizontal="center" vertical="center" wrapText="1"/>
    </xf>
    <xf numFmtId="0" fontId="38" fillId="0" borderId="16"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6" xfId="0" applyFont="1" applyBorder="1" applyAlignment="1">
      <alignment horizontal="center" vertical="center"/>
    </xf>
    <xf numFmtId="0" fontId="38" fillId="0" borderId="30" xfId="0" applyFont="1" applyBorder="1" applyAlignment="1">
      <alignment horizontal="center" vertical="center" wrapText="1"/>
    </xf>
    <xf numFmtId="0" fontId="37" fillId="33" borderId="16" xfId="0" applyFont="1" applyFill="1" applyBorder="1" applyAlignment="1">
      <alignment horizontal="center" vertical="center" wrapText="1"/>
    </xf>
    <xf numFmtId="0" fontId="37" fillId="33" borderId="16" xfId="0" applyFont="1" applyFill="1" applyBorder="1" applyAlignment="1">
      <alignment horizontal="left" vertical="top" wrapText="1"/>
    </xf>
    <xf numFmtId="0" fontId="0" fillId="0" borderId="0" xfId="0" applyAlignment="1">
      <alignment horizontal="left" vertical="top" wrapText="1"/>
    </xf>
    <xf numFmtId="0" fontId="38" fillId="46" borderId="12" xfId="0" applyFont="1" applyFill="1" applyBorder="1" applyAlignment="1">
      <alignment horizontal="center" vertical="center"/>
    </xf>
    <xf numFmtId="0" fontId="37" fillId="33" borderId="22" xfId="0" applyFont="1" applyFill="1" applyBorder="1" applyAlignment="1">
      <alignment horizontal="left" vertical="top" wrapText="1"/>
    </xf>
    <xf numFmtId="0" fontId="39" fillId="0" borderId="0" xfId="0" applyFont="1" applyAlignment="1">
      <alignment vertical="center" wrapText="1"/>
    </xf>
    <xf numFmtId="0" fontId="16" fillId="0" borderId="37" xfId="0" applyFont="1" applyBorder="1" applyAlignment="1">
      <alignment horizontal="center" vertical="center"/>
    </xf>
    <xf numFmtId="0" fontId="0" fillId="0" borderId="37" xfId="0" applyBorder="1" applyAlignment="1">
      <alignment horizontal="center" vertical="center"/>
    </xf>
    <xf numFmtId="0" fontId="16" fillId="35" borderId="37" xfId="0" applyFont="1" applyFill="1" applyBorder="1" applyAlignment="1">
      <alignment horizontal="center" vertical="center"/>
    </xf>
    <xf numFmtId="0" fontId="16" fillId="34" borderId="37" xfId="0" applyFont="1" applyFill="1" applyBorder="1" applyAlignment="1">
      <alignment horizontal="center" vertical="center"/>
    </xf>
    <xf numFmtId="0" fontId="16" fillId="42" borderId="37" xfId="0" applyFont="1" applyFill="1" applyBorder="1" applyAlignment="1">
      <alignment horizontal="center" vertical="center"/>
    </xf>
    <xf numFmtId="0" fontId="16" fillId="37" borderId="37" xfId="0" applyFont="1" applyFill="1" applyBorder="1" applyAlignment="1">
      <alignment horizontal="center" vertical="center"/>
    </xf>
    <xf numFmtId="0" fontId="16" fillId="36" borderId="37" xfId="0" applyFont="1" applyFill="1" applyBorder="1" applyAlignment="1">
      <alignment horizontal="center" vertical="center"/>
    </xf>
    <xf numFmtId="0" fontId="16" fillId="50" borderId="37" xfId="0" applyFont="1" applyFill="1" applyBorder="1" applyAlignment="1">
      <alignment horizontal="center" vertical="center"/>
    </xf>
    <xf numFmtId="0" fontId="16" fillId="45" borderId="37" xfId="0" applyFont="1" applyFill="1" applyBorder="1" applyAlignment="1">
      <alignment horizontal="center" vertical="center"/>
    </xf>
    <xf numFmtId="0" fontId="16" fillId="46" borderId="37" xfId="0" applyFont="1" applyFill="1" applyBorder="1" applyAlignment="1">
      <alignment horizontal="center" vertical="center"/>
    </xf>
    <xf numFmtId="0" fontId="16" fillId="47" borderId="37" xfId="0" applyFont="1" applyFill="1" applyBorder="1" applyAlignment="1">
      <alignment horizontal="center" vertical="center"/>
    </xf>
    <xf numFmtId="0" fontId="7" fillId="0" borderId="44" xfId="7" applyFill="1" applyBorder="1" applyAlignment="1">
      <alignment horizontal="center" vertical="center" wrapText="1"/>
    </xf>
    <xf numFmtId="0" fontId="25" fillId="0" borderId="0" xfId="0" applyFont="1" applyAlignment="1">
      <alignment horizontal="center" vertical="center" wrapText="1"/>
    </xf>
    <xf numFmtId="0" fontId="40" fillId="0" borderId="0" xfId="0" applyFont="1" applyAlignment="1">
      <alignment horizontal="left" wrapText="1"/>
    </xf>
    <xf numFmtId="0" fontId="0" fillId="0" borderId="0" xfId="0" applyAlignment="1">
      <alignment horizontal="left" wrapText="1"/>
    </xf>
    <xf numFmtId="0" fontId="0" fillId="51" borderId="0" xfId="0" applyFill="1" applyAlignment="1">
      <alignment horizontal="left" vertical="center" wrapText="1"/>
    </xf>
    <xf numFmtId="0" fontId="0" fillId="52" borderId="0" xfId="0" applyFill="1" applyAlignment="1">
      <alignment horizontal="left" vertical="center" wrapText="1"/>
    </xf>
    <xf numFmtId="0" fontId="0" fillId="53" borderId="0" xfId="0" applyFill="1" applyAlignment="1">
      <alignment horizontal="left" vertical="center" wrapText="1"/>
    </xf>
    <xf numFmtId="0" fontId="0" fillId="54" borderId="0" xfId="0" applyFill="1" applyAlignment="1">
      <alignment horizontal="left" vertical="center" wrapText="1"/>
    </xf>
    <xf numFmtId="0" fontId="40" fillId="0" borderId="0" xfId="0" applyFont="1" applyAlignment="1">
      <alignment horizontal="center" vertical="center" wrapText="1"/>
    </xf>
    <xf numFmtId="0" fontId="40" fillId="0" borderId="0" xfId="0" applyFont="1" applyAlignment="1">
      <alignment horizontal="left" vertical="top" wrapText="1"/>
    </xf>
    <xf numFmtId="0" fontId="40" fillId="0" borderId="16" xfId="0" applyFont="1" applyBorder="1" applyAlignment="1">
      <alignment horizontal="left" vertical="top" wrapText="1"/>
    </xf>
    <xf numFmtId="0" fontId="13" fillId="0" borderId="21" xfId="0" applyFont="1" applyBorder="1" applyAlignment="1">
      <alignment horizontal="center" vertical="center" wrapText="1"/>
    </xf>
    <xf numFmtId="0" fontId="40" fillId="0" borderId="16" xfId="0" applyFont="1" applyBorder="1" applyAlignment="1">
      <alignment horizontal="center" vertical="center" wrapText="1"/>
    </xf>
    <xf numFmtId="0" fontId="40" fillId="0" borderId="21"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6" xfId="0" applyFont="1" applyBorder="1" applyAlignment="1">
      <alignment horizontal="center" vertical="center"/>
    </xf>
    <xf numFmtId="0" fontId="40" fillId="0" borderId="16" xfId="0" applyFont="1" applyBorder="1"/>
    <xf numFmtId="0" fontId="40" fillId="0" borderId="16" xfId="0" applyFont="1" applyBorder="1" applyAlignment="1">
      <alignment vertical="center" wrapText="1"/>
    </xf>
    <xf numFmtId="0" fontId="16" fillId="0" borderId="0" xfId="0" applyFont="1" applyAlignment="1">
      <alignment horizontal="center" vertical="center" wrapText="1"/>
    </xf>
    <xf numFmtId="0" fontId="0" fillId="0" borderId="25" xfId="0" applyBorder="1" applyAlignment="1">
      <alignment horizontal="center" vertical="center" wrapText="1"/>
    </xf>
    <xf numFmtId="0" fontId="16" fillId="0" borderId="16" xfId="0" applyFont="1" applyBorder="1" applyAlignment="1">
      <alignment horizontal="center" vertical="center" wrapText="1"/>
    </xf>
    <xf numFmtId="0" fontId="40" fillId="0" borderId="0" xfId="0" applyFont="1" applyAlignment="1">
      <alignment horizontal="center" vertical="center"/>
    </xf>
    <xf numFmtId="49" fontId="40" fillId="0" borderId="0" xfId="0" applyNumberFormat="1" applyFont="1" applyAlignment="1">
      <alignment horizontal="center" vertical="center" wrapText="1"/>
    </xf>
    <xf numFmtId="0" fontId="13" fillId="0" borderId="36" xfId="0" applyFont="1" applyBorder="1" applyAlignment="1">
      <alignment horizontal="center" vertical="center" wrapText="1"/>
    </xf>
    <xf numFmtId="0" fontId="27" fillId="38" borderId="16" xfId="0" applyFont="1" applyFill="1" applyBorder="1" applyAlignment="1">
      <alignment horizontal="center" vertical="center" wrapText="1"/>
    </xf>
    <xf numFmtId="0" fontId="28" fillId="39" borderId="16" xfId="0" applyFont="1" applyFill="1" applyBorder="1" applyAlignment="1">
      <alignment horizontal="center" vertical="center" wrapText="1"/>
    </xf>
    <xf numFmtId="0" fontId="28" fillId="40" borderId="16" xfId="0" applyFont="1" applyFill="1" applyBorder="1" applyAlignment="1">
      <alignment horizontal="center" vertical="center" wrapText="1"/>
    </xf>
    <xf numFmtId="0" fontId="28" fillId="41" borderId="16" xfId="0" applyFont="1" applyFill="1" applyBorder="1" applyAlignment="1">
      <alignment horizontal="center" vertical="center" wrapText="1"/>
    </xf>
    <xf numFmtId="0" fontId="40" fillId="0" borderId="16" xfId="0" applyFont="1" applyBorder="1" applyAlignment="1">
      <alignment horizontal="left" vertical="center"/>
    </xf>
    <xf numFmtId="0" fontId="0" fillId="0" borderId="25" xfId="0" applyBorder="1" applyAlignment="1">
      <alignment horizontal="center" vertical="center"/>
    </xf>
    <xf numFmtId="0" fontId="40" fillId="0" borderId="23" xfId="0" applyFont="1" applyBorder="1" applyAlignment="1">
      <alignment horizontal="center" vertical="center" wrapText="1"/>
    </xf>
    <xf numFmtId="0" fontId="25" fillId="0" borderId="21" xfId="0" applyFont="1" applyBorder="1" applyAlignment="1">
      <alignment horizontal="center" vertical="center"/>
    </xf>
    <xf numFmtId="0" fontId="25" fillId="0" borderId="21" xfId="0" applyFont="1" applyBorder="1" applyAlignment="1">
      <alignment horizontal="center" vertical="center" wrapText="1"/>
    </xf>
    <xf numFmtId="0" fontId="25" fillId="0" borderId="35" xfId="0" applyFont="1" applyBorder="1" applyAlignment="1">
      <alignment horizontal="center" vertical="center" wrapText="1"/>
    </xf>
    <xf numFmtId="0" fontId="0" fillId="0" borderId="32" xfId="0" applyBorder="1" applyAlignment="1">
      <alignment horizontal="center" vertical="center"/>
    </xf>
    <xf numFmtId="0" fontId="40" fillId="0" borderId="19" xfId="0" applyFont="1" applyBorder="1" applyAlignment="1">
      <alignment horizontal="left" vertical="center"/>
    </xf>
    <xf numFmtId="0" fontId="40" fillId="0" borderId="31" xfId="0" applyFont="1" applyBorder="1" applyAlignment="1">
      <alignment horizontal="center" vertical="center" wrapText="1"/>
    </xf>
    <xf numFmtId="0" fontId="25" fillId="0" borderId="36" xfId="0" applyFont="1" applyBorder="1" applyAlignment="1">
      <alignment horizontal="center" vertical="center"/>
    </xf>
    <xf numFmtId="0" fontId="25" fillId="0" borderId="36" xfId="0" applyFont="1" applyBorder="1" applyAlignment="1">
      <alignment horizontal="center" vertical="center" wrapText="1"/>
    </xf>
    <xf numFmtId="0" fontId="40" fillId="0" borderId="25" xfId="0" applyFont="1" applyBorder="1" applyAlignment="1">
      <alignment horizontal="center" vertical="center"/>
    </xf>
    <xf numFmtId="0" fontId="40" fillId="0" borderId="16" xfId="0" applyFont="1" applyBorder="1" applyAlignment="1">
      <alignment horizontal="left" vertical="center" wrapText="1"/>
    </xf>
    <xf numFmtId="0" fontId="25" fillId="0" borderId="0" xfId="0" applyFont="1" applyAlignment="1">
      <alignment horizontal="center" vertical="center"/>
    </xf>
    <xf numFmtId="0" fontId="40" fillId="0" borderId="0" xfId="0" applyFont="1" applyAlignment="1">
      <alignment horizontal="left" vertical="center" wrapText="1"/>
    </xf>
    <xf numFmtId="0" fontId="40" fillId="0" borderId="32" xfId="0" applyFont="1" applyBorder="1" applyAlignment="1">
      <alignment horizontal="center" vertical="center" wrapText="1"/>
    </xf>
    <xf numFmtId="0" fontId="40" fillId="0" borderId="32" xfId="0" applyFont="1" applyBorder="1" applyAlignment="1">
      <alignment vertical="center" wrapText="1"/>
    </xf>
    <xf numFmtId="0" fontId="40" fillId="0" borderId="19" xfId="0" applyFont="1" applyBorder="1" applyAlignment="1">
      <alignment horizontal="left" vertical="top" wrapText="1"/>
    </xf>
    <xf numFmtId="0" fontId="40" fillId="0" borderId="25" xfId="0" applyFont="1" applyBorder="1" applyAlignment="1">
      <alignment horizontal="center" vertical="center" wrapText="1"/>
    </xf>
    <xf numFmtId="0" fontId="40" fillId="0" borderId="34" xfId="0" applyFont="1" applyBorder="1" applyAlignment="1">
      <alignment horizontal="center" vertical="center" wrapText="1"/>
    </xf>
    <xf numFmtId="0" fontId="40" fillId="0" borderId="33" xfId="0" applyFont="1" applyBorder="1" applyAlignment="1">
      <alignment horizontal="center" vertical="center" wrapText="1"/>
    </xf>
    <xf numFmtId="0" fontId="40" fillId="0" borderId="23" xfId="0" applyFont="1" applyBorder="1" applyAlignment="1">
      <alignment vertical="center" wrapText="1"/>
    </xf>
    <xf numFmtId="0" fontId="40" fillId="0" borderId="32" xfId="0" applyFont="1" applyBorder="1" applyAlignment="1">
      <alignment horizontal="center" vertical="center"/>
    </xf>
    <xf numFmtId="0" fontId="40" fillId="0" borderId="19" xfId="0" applyFont="1" applyBorder="1"/>
    <xf numFmtId="0" fontId="40" fillId="0" borderId="19" xfId="0" applyFont="1" applyBorder="1" applyAlignment="1">
      <alignment vertical="center" wrapText="1"/>
    </xf>
    <xf numFmtId="0" fontId="40" fillId="0" borderId="31" xfId="0" applyFont="1" applyBorder="1" applyAlignment="1">
      <alignment vertical="center" wrapText="1"/>
    </xf>
    <xf numFmtId="0" fontId="25" fillId="0" borderId="35" xfId="0" applyFont="1" applyBorder="1" applyAlignment="1">
      <alignment horizontal="center" vertical="center"/>
    </xf>
    <xf numFmtId="0" fontId="40" fillId="0" borderId="23" xfId="0" applyFont="1" applyBorder="1" applyAlignment="1">
      <alignment horizontal="center" vertical="center"/>
    </xf>
    <xf numFmtId="0" fontId="40" fillId="0" borderId="19" xfId="0" applyFont="1" applyBorder="1" applyAlignment="1">
      <alignment horizontal="center" vertical="center"/>
    </xf>
    <xf numFmtId="0" fontId="40" fillId="0" borderId="31" xfId="0" applyFont="1" applyBorder="1" applyAlignment="1">
      <alignment horizontal="center" vertical="center"/>
    </xf>
    <xf numFmtId="0" fontId="25" fillId="0" borderId="20" xfId="0" applyFont="1" applyBorder="1" applyAlignment="1">
      <alignment horizontal="center" vertical="center" wrapText="1"/>
    </xf>
    <xf numFmtId="0" fontId="25" fillId="0" borderId="33" xfId="0" applyFont="1" applyBorder="1" applyAlignment="1">
      <alignment horizontal="center" vertical="center" wrapText="1"/>
    </xf>
    <xf numFmtId="0" fontId="40" fillId="0" borderId="16" xfId="0" applyFont="1" applyBorder="1" applyAlignment="1">
      <alignment horizontal="center"/>
    </xf>
    <xf numFmtId="0" fontId="40" fillId="0" borderId="16" xfId="38" applyFont="1" applyFill="1" applyBorder="1" applyAlignment="1">
      <alignment horizontal="center" vertical="center" wrapText="1"/>
    </xf>
    <xf numFmtId="0" fontId="46" fillId="0" borderId="0" xfId="0" applyFont="1" applyAlignment="1">
      <alignment horizontal="left" vertical="top" wrapText="1"/>
    </xf>
    <xf numFmtId="0" fontId="46" fillId="0" borderId="0" xfId="0" applyFont="1" applyAlignment="1">
      <alignment horizontal="left" vertical="center" wrapText="1"/>
    </xf>
    <xf numFmtId="0" fontId="40" fillId="0" borderId="19" xfId="0" applyFont="1" applyBorder="1" applyAlignment="1">
      <alignment horizontal="center"/>
    </xf>
    <xf numFmtId="0" fontId="40" fillId="0" borderId="19" xfId="38" applyFont="1" applyFill="1" applyBorder="1" applyAlignment="1">
      <alignment horizontal="center" vertical="center" wrapText="1"/>
    </xf>
    <xf numFmtId="0" fontId="40" fillId="0" borderId="19" xfId="0" applyFont="1" applyBorder="1" applyAlignment="1">
      <alignment horizontal="left" vertical="center" wrapText="1"/>
    </xf>
    <xf numFmtId="0" fontId="25" fillId="55" borderId="45" xfId="0" applyFont="1" applyFill="1" applyBorder="1" applyAlignment="1">
      <alignment horizontal="center" vertical="center" wrapText="1"/>
    </xf>
    <xf numFmtId="0" fontId="25" fillId="55" borderId="46" xfId="0" applyFont="1" applyFill="1" applyBorder="1" applyAlignment="1">
      <alignment horizontal="center" vertical="center" wrapText="1"/>
    </xf>
    <xf numFmtId="0" fontId="40" fillId="56" borderId="16" xfId="0" applyFont="1" applyFill="1" applyBorder="1" applyAlignment="1">
      <alignment horizontal="left" vertical="center" wrapText="1"/>
    </xf>
    <xf numFmtId="0" fontId="40" fillId="56" borderId="16" xfId="0" applyFont="1" applyFill="1" applyBorder="1" applyAlignment="1">
      <alignment horizontal="center" vertical="center" wrapText="1"/>
    </xf>
    <xf numFmtId="0" fontId="46" fillId="0" borderId="47" xfId="0" applyFont="1" applyBorder="1" applyAlignment="1">
      <alignment horizontal="left" vertical="top" wrapText="1"/>
    </xf>
    <xf numFmtId="0" fontId="46" fillId="56" borderId="47" xfId="0" applyFont="1" applyFill="1" applyBorder="1" applyAlignment="1">
      <alignment horizontal="left" vertical="center" wrapText="1"/>
    </xf>
    <xf numFmtId="0" fontId="40" fillId="56" borderId="19" xfId="0" applyFont="1" applyFill="1" applyBorder="1" applyAlignment="1">
      <alignment horizontal="left" vertical="center" wrapText="1"/>
    </xf>
    <xf numFmtId="0" fontId="40" fillId="56" borderId="19" xfId="0" applyFont="1" applyFill="1" applyBorder="1" applyAlignment="1">
      <alignment horizontal="center" vertical="center" wrapText="1"/>
    </xf>
    <xf numFmtId="0" fontId="40" fillId="0" borderId="25" xfId="0" applyFont="1" applyBorder="1" applyAlignment="1">
      <alignment vertical="center" wrapText="1"/>
    </xf>
    <xf numFmtId="0" fontId="26" fillId="0" borderId="32" xfId="0" applyFont="1" applyBorder="1" applyAlignment="1">
      <alignment horizontal="left" vertical="center" wrapText="1"/>
    </xf>
    <xf numFmtId="0" fontId="26" fillId="0" borderId="19" xfId="0" applyFont="1" applyBorder="1" applyAlignment="1">
      <alignment horizontal="left" vertical="center" wrapText="1"/>
    </xf>
    <xf numFmtId="0" fontId="26" fillId="0" borderId="19" xfId="0" applyFont="1" applyBorder="1" applyAlignment="1">
      <alignment horizontal="center" vertical="center" wrapText="1"/>
    </xf>
    <xf numFmtId="0" fontId="45" fillId="0" borderId="19" xfId="0" applyFont="1" applyBorder="1" applyAlignment="1">
      <alignment horizontal="center" vertical="center" wrapText="1"/>
    </xf>
    <xf numFmtId="0" fontId="26" fillId="0" borderId="31" xfId="0" applyFont="1" applyBorder="1" applyAlignment="1">
      <alignment horizontal="center" vertical="center" wrapText="1"/>
    </xf>
    <xf numFmtId="0" fontId="18" fillId="33" borderId="0" xfId="0" applyFont="1" applyFill="1" applyAlignment="1">
      <alignment horizontal="center" vertical="center" wrapText="1" readingOrder="2"/>
    </xf>
    <xf numFmtId="0" fontId="16" fillId="33" borderId="0" xfId="0" applyFont="1" applyFill="1" applyAlignment="1">
      <alignment readingOrder="2"/>
    </xf>
    <xf numFmtId="0" fontId="20" fillId="33" borderId="0" xfId="0" applyFont="1" applyFill="1" applyAlignment="1">
      <alignment vertical="center" wrapText="1" readingOrder="2"/>
    </xf>
    <xf numFmtId="0" fontId="0" fillId="33" borderId="0" xfId="0" applyFill="1" applyAlignment="1">
      <alignment readingOrder="2"/>
    </xf>
    <xf numFmtId="0" fontId="0" fillId="0" borderId="17" xfId="0" applyBorder="1" applyAlignment="1">
      <alignment horizontal="center" vertical="center"/>
    </xf>
    <xf numFmtId="0" fontId="0" fillId="0" borderId="18" xfId="0" applyBorder="1" applyAlignment="1">
      <alignment horizontal="center" vertical="center"/>
    </xf>
    <xf numFmtId="0" fontId="44" fillId="58" borderId="16" xfId="0" applyFont="1" applyFill="1" applyBorder="1" applyAlignment="1">
      <alignment horizontal="center" vertical="center" wrapText="1"/>
    </xf>
    <xf numFmtId="0" fontId="43" fillId="4" borderId="0" xfId="8" applyFont="1" applyAlignment="1">
      <alignment horizontal="center" vertical="center" wrapText="1"/>
    </xf>
    <xf numFmtId="0" fontId="0" fillId="0" borderId="0" xfId="0" applyAlignment="1">
      <alignment horizontal="center" vertical="center" wrapText="1"/>
    </xf>
    <xf numFmtId="0" fontId="42" fillId="57" borderId="0" xfId="0" applyFont="1" applyFill="1" applyAlignment="1">
      <alignment horizontal="center" vertical="center" wrapText="1"/>
    </xf>
    <xf numFmtId="0" fontId="41" fillId="47" borderId="0" xfId="0" applyFont="1" applyFill="1" applyAlignment="1">
      <alignment horizontal="center" vertical="center" wrapText="1"/>
    </xf>
    <xf numFmtId="0" fontId="16" fillId="0" borderId="37" xfId="0" applyFont="1" applyBorder="1" applyAlignment="1">
      <alignment horizontal="center" vertical="center"/>
    </xf>
    <xf numFmtId="0" fontId="0" fillId="0" borderId="37" xfId="0" applyBorder="1" applyAlignment="1">
      <alignment horizontal="center" vertical="center"/>
    </xf>
    <xf numFmtId="0" fontId="16" fillId="0" borderId="38" xfId="0" applyFont="1" applyBorder="1" applyAlignment="1">
      <alignment horizontal="left" vertical="top" wrapText="1"/>
    </xf>
    <xf numFmtId="0" fontId="16" fillId="0" borderId="39" xfId="0" applyFont="1" applyBorder="1" applyAlignment="1">
      <alignment horizontal="left" vertical="top" wrapText="1"/>
    </xf>
    <xf numFmtId="0" fontId="16" fillId="0" borderId="40" xfId="0" applyFont="1" applyBorder="1" applyAlignment="1">
      <alignment horizontal="left" vertical="top" wrapText="1"/>
    </xf>
    <xf numFmtId="0" fontId="16" fillId="0" borderId="41" xfId="0" applyFont="1" applyBorder="1" applyAlignment="1">
      <alignment horizontal="left" vertical="top" wrapText="1"/>
    </xf>
    <xf numFmtId="0" fontId="16" fillId="0" borderId="42" xfId="0" applyFont="1" applyBorder="1" applyAlignment="1">
      <alignment horizontal="left" vertical="top" wrapText="1"/>
    </xf>
    <xf numFmtId="0" fontId="16" fillId="0" borderId="43" xfId="0" applyFont="1" applyBorder="1" applyAlignment="1">
      <alignment horizontal="left" vertical="top" wrapText="1"/>
    </xf>
    <xf numFmtId="0" fontId="33" fillId="0" borderId="0" xfId="0" applyFont="1" applyAlignment="1">
      <alignment horizontal="center" vertical="center" wrapText="1"/>
    </xf>
    <xf numFmtId="0" fontId="30" fillId="34" borderId="0" xfId="0" applyFont="1" applyFill="1" applyAlignment="1">
      <alignment horizontal="center" vertical="center"/>
    </xf>
    <xf numFmtId="0" fontId="31" fillId="48" borderId="16" xfId="0" applyFont="1" applyFill="1" applyBorder="1" applyAlignment="1">
      <alignment horizontal="center" vertical="center"/>
    </xf>
    <xf numFmtId="0" fontId="31" fillId="48" borderId="23" xfId="0" applyFont="1" applyFill="1" applyBorder="1" applyAlignment="1">
      <alignment horizontal="center" vertical="center"/>
    </xf>
    <xf numFmtId="0" fontId="31" fillId="48" borderId="10" xfId="0" applyFont="1" applyFill="1" applyBorder="1" applyAlignment="1">
      <alignment horizontal="center" vertical="center"/>
    </xf>
    <xf numFmtId="0" fontId="31" fillId="48" borderId="27" xfId="0" applyFont="1" applyFill="1" applyBorder="1" applyAlignment="1">
      <alignment horizontal="center" vertical="center"/>
    </xf>
    <xf numFmtId="0" fontId="31" fillId="48" borderId="11" xfId="0" applyFont="1" applyFill="1" applyBorder="1" applyAlignment="1">
      <alignment horizontal="center" vertical="center"/>
    </xf>
    <xf numFmtId="0" fontId="29" fillId="43" borderId="16" xfId="0" applyFont="1" applyFill="1" applyBorder="1" applyAlignment="1">
      <alignment horizontal="center" vertical="center" wrapText="1"/>
    </xf>
    <xf numFmtId="0" fontId="29" fillId="33" borderId="16" xfId="0" applyFont="1" applyFill="1" applyBorder="1" applyAlignment="1">
      <alignment horizontal="center" vertical="center" wrapText="1"/>
    </xf>
    <xf numFmtId="0" fontId="29" fillId="33" borderId="23" xfId="0" applyFont="1" applyFill="1" applyBorder="1" applyAlignment="1">
      <alignment horizontal="center" vertical="center" wrapText="1"/>
    </xf>
    <xf numFmtId="0" fontId="29" fillId="33" borderId="24" xfId="0" applyFont="1" applyFill="1" applyBorder="1" applyAlignment="1">
      <alignment horizontal="center" vertical="center" wrapText="1"/>
    </xf>
    <xf numFmtId="0" fontId="29" fillId="33" borderId="25" xfId="0" applyFont="1" applyFill="1" applyBorder="1" applyAlignment="1">
      <alignment horizontal="center" vertical="center" wrapText="1"/>
    </xf>
    <xf numFmtId="0" fontId="30" fillId="0" borderId="0" xfId="0" applyFont="1" applyFill="1" applyAlignment="1">
      <alignment horizontal="center" vertical="center"/>
    </xf>
    <xf numFmtId="0" fontId="0" fillId="0" borderId="0" xfId="0"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6">
    <dxf>
      <fill>
        <patternFill>
          <bgColor theme="4" tint="0.39994506668294322"/>
        </patternFill>
      </fill>
    </dxf>
    <dxf>
      <fill>
        <patternFill>
          <bgColor rgb="FFFFF2CC"/>
        </patternFill>
      </fill>
    </dxf>
    <dxf>
      <fill>
        <patternFill>
          <bgColor rgb="FFFCE4D6"/>
        </patternFill>
      </fill>
    </dxf>
    <dxf>
      <fill>
        <patternFill>
          <bgColor theme="0" tint="-0.24994659260841701"/>
        </patternFill>
      </fill>
    </dxf>
    <dxf>
      <fill>
        <patternFill>
          <bgColor rgb="FFFF0000"/>
        </patternFill>
      </fill>
    </dxf>
    <dxf>
      <fill>
        <patternFill>
          <bgColor rgb="FF92D050"/>
        </patternFill>
      </fill>
    </dxf>
    <dxf>
      <fill>
        <patternFill>
          <bgColor rgb="FFFF0000"/>
        </patternFill>
      </fill>
    </dxf>
    <dxf>
      <fill>
        <patternFill>
          <bgColor rgb="FFC00000"/>
        </patternFill>
      </fill>
    </dxf>
    <dxf>
      <fill>
        <patternFill>
          <bgColor rgb="FFFFC000"/>
        </patternFill>
      </fill>
    </dxf>
    <dxf>
      <fill>
        <patternFill>
          <bgColor rgb="FFFFFF00"/>
        </patternFill>
      </fill>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left"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right style="thin">
          <color indexed="64"/>
        </right>
        <top/>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auto="1"/>
        </left>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ttom style="thin">
          <color indexed="64"/>
        </bottom>
      </border>
    </dxf>
    <dxf>
      <font>
        <strike val="0"/>
        <outline val="0"/>
        <shadow val="0"/>
        <u val="none"/>
        <vertAlign val="baseline"/>
        <color auto="1"/>
        <family val="2"/>
      </font>
      <alignment horizontal="center" vertical="center"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textRotation="0" wrapText="1" indent="0" justifyLastLine="0" shrinkToFit="0" readingOrder="0"/>
    </dxf>
    <dxf>
      <alignment horizontal="left" textRotation="0" wrapText="1" indent="0" justifyLastLine="0" shrinkToFit="0" readingOrder="0"/>
    </dxf>
    <dxf>
      <alignment horizontal="left" textRotation="0" wrapText="1" indent="0" justifyLastLine="0" shrinkToFit="0" readingOrder="0"/>
    </dxf>
    <dxf>
      <alignment horizontal="left" textRotation="0" wrapText="1" indent="0" justifyLastLine="0" shrinkToFit="0" readingOrder="0"/>
    </dxf>
    <dxf>
      <alignment horizontal="left" textRotation="0" wrapText="1" indent="0" justifyLastLine="0" shrinkToFit="0" readingOrder="0"/>
    </dxf>
    <dxf>
      <font>
        <strike val="0"/>
        <outline val="0"/>
        <shadow val="0"/>
        <u val="none"/>
        <vertAlign val="baseline"/>
        <sz val="11"/>
        <color auto="1"/>
        <name val="Calibri"/>
        <family val="2"/>
        <scheme val="minor"/>
      </font>
      <alignment horizontal="left"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ttom style="thin">
          <color indexed="64"/>
        </bottom>
      </border>
    </dxf>
    <dxf>
      <font>
        <strike val="0"/>
        <outline val="0"/>
        <shadow val="0"/>
        <u val="none"/>
        <vertAlign val="baseline"/>
        <color auto="1"/>
      </font>
    </dxf>
    <dxf>
      <font>
        <b/>
        <i val="0"/>
        <strike val="0"/>
        <condense val="0"/>
        <extend val="0"/>
        <outline val="0"/>
        <shadow val="0"/>
        <u val="none"/>
        <vertAlign val="baseline"/>
        <sz val="11"/>
        <color auto="1"/>
        <name val="Calibri"/>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Times New Roman"/>
        <family val="1"/>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alignment horizontal="center" vertical="center" textRotation="0" wrapText="1" indent="0" justifyLastLine="0" shrinkToFit="0" readingOrder="0"/>
    </dxf>
    <dxf>
      <border outline="0">
        <bottom style="thin">
          <color indexed="64"/>
        </bottom>
      </border>
    </dxf>
    <dxf>
      <font>
        <strike val="0"/>
        <outline val="0"/>
        <shadow val="0"/>
        <u val="none"/>
        <vertAlign val="baseline"/>
        <sz val="10"/>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Tahom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Tahom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theme="1"/>
        <name val="Tahoma"/>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strike val="0"/>
        <outline val="0"/>
        <shadow val="0"/>
        <u val="none"/>
        <vertAlign val="baseline"/>
        <sz val="10"/>
        <color theme="1"/>
        <name val="Tahom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ahoma"/>
        <family val="2"/>
        <scheme val="none"/>
      </font>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0"/>
        <color theme="1"/>
        <name val="Tahoma"/>
        <family val="2"/>
        <scheme val="none"/>
      </font>
      <alignment horizontal="center" vertical="center" textRotation="0" wrapText="0" indent="0" justifyLastLine="0" shrinkToFit="0" readingOrder="0"/>
    </dxf>
    <dxf>
      <border>
        <bottom style="thin">
          <color indexed="64"/>
        </bottom>
      </border>
    </dxf>
    <dxf>
      <font>
        <b val="0"/>
        <strike val="0"/>
        <outline val="0"/>
        <shadow val="0"/>
        <u val="none"/>
        <vertAlign val="baseline"/>
        <sz val="10"/>
        <color theme="0"/>
        <name val="Times New Roman"/>
        <family val="1"/>
        <scheme val="none"/>
      </font>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ahoma"/>
        <family val="2"/>
        <scheme val="none"/>
      </font>
      <fill>
        <patternFill patternType="solid">
          <fgColor indexed="64"/>
          <bgColor theme="0"/>
        </patternFill>
      </fill>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theme="0"/>
        <name val="Tahoma"/>
        <family val="2"/>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FFFFFF"/>
        <name val="Calibri"/>
        <scheme val="none"/>
      </font>
      <fill>
        <patternFill patternType="solid">
          <fgColor indexed="64"/>
          <bgColor rgb="FF8B00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Vulnerabilities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explosion val="1"/>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69-410A-8F33-2169BCDB9723}"/>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69-410A-8F33-2169BCDB9723}"/>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69-410A-8F33-2169BCDB9723}"/>
              </c:ext>
            </c:extLst>
          </c:dPt>
          <c:dPt>
            <c:idx val="3"/>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469-410A-8F33-2169BCDB9723}"/>
              </c:ext>
            </c:extLst>
          </c:dPt>
          <c:dLbls>
            <c:dLbl>
              <c:idx val="0"/>
              <c:layout>
                <c:manualLayout>
                  <c:x val="-7.3405180924442856E-2"/>
                  <c:y val="0.1746361979981859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69-410A-8F33-2169BCDB9723}"/>
                </c:ext>
              </c:extLst>
            </c:dLbl>
            <c:dLbl>
              <c:idx val="1"/>
              <c:layout>
                <c:manualLayout>
                  <c:x val="-8.5715246602717066E-2"/>
                  <c:y val="-0.171186399865154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69-410A-8F33-2169BCDB9723}"/>
                </c:ext>
              </c:extLst>
            </c:dLbl>
            <c:dLbl>
              <c:idx val="2"/>
              <c:layout>
                <c:manualLayout>
                  <c:x val="0.1266603454672878"/>
                  <c:y val="0.140882756627898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469-410A-8F33-2169BCDB9723}"/>
                </c:ext>
              </c:extLst>
            </c:dLbl>
            <c:dLbl>
              <c:idx val="3"/>
              <c:layout>
                <c:manualLayout>
                  <c:x val="2.429163149866664E-2"/>
                  <c:y val="0.1616316309085217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469-410A-8F33-2169BCDB9723}"/>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Summary!$A$2:$A$5</c:f>
              <c:strCache>
                <c:ptCount val="4"/>
                <c:pt idx="0">
                  <c:v>Critical</c:v>
                </c:pt>
                <c:pt idx="1">
                  <c:v>High</c:v>
                </c:pt>
                <c:pt idx="2">
                  <c:v>Medium</c:v>
                </c:pt>
                <c:pt idx="3">
                  <c:v>Low</c:v>
                </c:pt>
              </c:strCache>
            </c:strRef>
          </c:cat>
          <c:val>
            <c:numRef>
              <c:f>Summary!$B$2:$B$5</c:f>
              <c:numCache>
                <c:formatCode>General</c:formatCode>
                <c:ptCount val="4"/>
                <c:pt idx="0">
                  <c:v>1</c:v>
                </c:pt>
                <c:pt idx="1">
                  <c:v>3</c:v>
                </c:pt>
                <c:pt idx="2">
                  <c:v>4</c:v>
                </c:pt>
                <c:pt idx="3">
                  <c:v>1</c:v>
                </c:pt>
              </c:numCache>
            </c:numRef>
          </c:val>
          <c:extLst>
            <c:ext xmlns:c16="http://schemas.microsoft.com/office/drawing/2014/chart" uri="{C3380CC4-5D6E-409C-BE32-E72D297353CC}">
              <c16:uniqueId val="{00000008-1469-410A-8F33-2169BCDB972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Summary!$A$11</c:f>
              <c:strCache>
                <c:ptCount val="1"/>
                <c:pt idx="0">
                  <c:v>Compliance</c:v>
                </c:pt>
              </c:strCache>
            </c:strRef>
          </c:tx>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6C-4533-82AD-93429FC9DF5E}"/>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56C-4533-82AD-93429FC9DF5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56C-4533-82AD-93429FC9DF5E}"/>
              </c:ext>
            </c:extLst>
          </c:dPt>
          <c:dPt>
            <c:idx val="3"/>
            <c:bubble3D val="0"/>
            <c:spPr>
              <a:solidFill>
                <a:schemeClr val="accent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56C-4533-82AD-93429FC9DF5E}"/>
              </c:ext>
            </c:extLst>
          </c:dPt>
          <c:dPt>
            <c:idx val="4"/>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56C-4533-82AD-93429FC9DF5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56C-4533-82AD-93429FC9DF5E}"/>
              </c:ext>
            </c:extLst>
          </c:dPt>
          <c:dLbls>
            <c:dLbl>
              <c:idx val="0"/>
              <c:layout>
                <c:manualLayout>
                  <c:x val="2.8382236655459445E-2"/>
                  <c:y val="-6.5389539722169061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6C-4533-82AD-93429FC9DF5E}"/>
                </c:ext>
              </c:extLst>
            </c:dLbl>
            <c:dLbl>
              <c:idx val="1"/>
              <c:layout>
                <c:manualLayout>
                  <c:x val="6.6349023787224959E-2"/>
                  <c:y val="-0.140952563856347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6C-4533-82AD-93429FC9DF5E}"/>
                </c:ext>
              </c:extLst>
            </c:dLbl>
            <c:dLbl>
              <c:idx val="2"/>
              <c:layout>
                <c:manualLayout>
                  <c:x val="2.3892054647861025E-2"/>
                  <c:y val="-8.527129180513587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6C-4533-82AD-93429FC9DF5E}"/>
                </c:ext>
              </c:extLst>
            </c:dLbl>
            <c:dLbl>
              <c:idx val="3"/>
              <c:layout>
                <c:manualLayout>
                  <c:x val="9.8646313884622264E-2"/>
                  <c:y val="6.904960353732426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56C-4533-82AD-93429FC9DF5E}"/>
                </c:ext>
              </c:extLst>
            </c:dLbl>
            <c:dLbl>
              <c:idx val="4"/>
              <c:layout>
                <c:manualLayout>
                  <c:x val="-7.1801351126694571E-2"/>
                  <c:y val="9.417189180806109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56C-4533-82AD-93429FC9DF5E}"/>
                </c:ext>
              </c:extLst>
            </c:dLbl>
            <c:dLbl>
              <c:idx val="5"/>
              <c:layout>
                <c:manualLayout>
                  <c:x val="-0.13632795254719657"/>
                  <c:y val="-8.391622904345082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56C-4533-82AD-93429FC9DF5E}"/>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Summary!$A$12:$A$17</c:f>
              <c:strCache>
                <c:ptCount val="6"/>
                <c:pt idx="0">
                  <c:v>Failed</c:v>
                </c:pt>
                <c:pt idx="1">
                  <c:v>Passed</c:v>
                </c:pt>
                <c:pt idx="2">
                  <c:v>N/A</c:v>
                </c:pt>
                <c:pt idx="3">
                  <c:v>Missing Evidence</c:v>
                </c:pt>
                <c:pt idx="4">
                  <c:v>Manual Review</c:v>
                </c:pt>
                <c:pt idx="5">
                  <c:v>Inprogress</c:v>
                </c:pt>
              </c:strCache>
            </c:strRef>
          </c:cat>
          <c:val>
            <c:numRef>
              <c:f>Summary!$B$12:$B$17</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C-456C-4533-82AD-93429FC9DF5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236842</xdr:colOff>
      <xdr:row>10</xdr:row>
      <xdr:rowOff>152098</xdr:rowOff>
    </xdr:from>
    <xdr:to>
      <xdr:col>8</xdr:col>
      <xdr:colOff>412376</xdr:colOff>
      <xdr:row>15</xdr:row>
      <xdr:rowOff>138513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675242" y="2057098"/>
          <a:ext cx="2613934" cy="107226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xdr:colOff>
      <xdr:row>1</xdr:row>
      <xdr:rowOff>19050</xdr:rowOff>
    </xdr:from>
    <xdr:to>
      <xdr:col>11</xdr:col>
      <xdr:colOff>354330</xdr:colOff>
      <xdr:row>18</xdr:row>
      <xdr:rowOff>19050</xdr:rowOff>
    </xdr:to>
    <xdr:graphicFrame macro="">
      <xdr:nvGraphicFramePr>
        <xdr:cNvPr id="2" name="Chart 1">
          <a:extLst>
            <a:ext uri="{FF2B5EF4-FFF2-40B4-BE49-F238E27FC236}">
              <a16:creationId xmlns:a16="http://schemas.microsoft.com/office/drawing/2014/main" id="{5C13DE3E-3A87-47CE-A8C5-D65926CB6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1</xdr:row>
      <xdr:rowOff>19048</xdr:rowOff>
    </xdr:from>
    <xdr:to>
      <xdr:col>20</xdr:col>
      <xdr:colOff>104775</xdr:colOff>
      <xdr:row>18</xdr:row>
      <xdr:rowOff>38100</xdr:rowOff>
    </xdr:to>
    <xdr:graphicFrame macro="">
      <xdr:nvGraphicFramePr>
        <xdr:cNvPr id="3" name="Chart 2">
          <a:extLst>
            <a:ext uri="{FF2B5EF4-FFF2-40B4-BE49-F238E27FC236}">
              <a16:creationId xmlns:a16="http://schemas.microsoft.com/office/drawing/2014/main" id="{21D179E4-443F-4E91-9B42-977EED2EC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471561</xdr:colOff>
      <xdr:row>0</xdr:row>
      <xdr:rowOff>153719</xdr:rowOff>
    </xdr:from>
    <xdr:to>
      <xdr:col>21</xdr:col>
      <xdr:colOff>79864</xdr:colOff>
      <xdr:row>8</xdr:row>
      <xdr:rowOff>176578</xdr:rowOff>
    </xdr:to>
    <xdr:sp macro="" textlink="">
      <xdr:nvSpPr>
        <xdr:cNvPr id="2" name="TextBox 1">
          <a:extLst>
            <a:ext uri="{FF2B5EF4-FFF2-40B4-BE49-F238E27FC236}">
              <a16:creationId xmlns:a16="http://schemas.microsoft.com/office/drawing/2014/main" id="{90B6CA9C-550B-4C23-B0E4-E324020E22E0}"/>
            </a:ext>
          </a:extLst>
        </xdr:cNvPr>
        <xdr:cNvSpPr txBox="1"/>
      </xdr:nvSpPr>
      <xdr:spPr>
        <a:xfrm>
          <a:off x="20274036" y="153719"/>
          <a:ext cx="5094703" cy="15468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100" kern="1200">
              <a:latin typeface="Vazirmatn" pitchFamily="2" charset="-78"/>
              <a:cs typeface="Vazirmatn" pitchFamily="2" charset="-78"/>
            </a:rPr>
            <a:t>ملاحظات امنیتی کاربران سیستم عامل:</a:t>
          </a:r>
        </a:p>
        <a:p>
          <a:pPr algn="r" rtl="1"/>
          <a:r>
            <a:rPr lang="fa-IR" sz="1100" kern="1200">
              <a:latin typeface="Vazirmatn" pitchFamily="2" charset="-78"/>
              <a:cs typeface="Vazirmatn" pitchFamily="2" charset="-78"/>
            </a:rPr>
            <a:t>حذف کاربران بلااستفاده: برای مثال </a:t>
          </a:r>
          <a:r>
            <a:rPr lang="en-US" sz="1100" kern="1200">
              <a:latin typeface="Vazirmatn" pitchFamily="2" charset="-78"/>
              <a:cs typeface="Vazirmatn" pitchFamily="2" charset="-78"/>
            </a:rPr>
            <a:t>games،news </a:t>
          </a:r>
          <a:r>
            <a:rPr lang="fa-IR" sz="1100" kern="1200">
              <a:latin typeface="Vazirmatn" pitchFamily="2" charset="-78"/>
              <a:cs typeface="Vazirmatn" pitchFamily="2" charset="-78"/>
            </a:rPr>
            <a:t>و ...</a:t>
          </a:r>
          <a:endParaRPr lang="en-US" sz="1100" kern="1200">
            <a:latin typeface="Vazirmatn" pitchFamily="2" charset="-78"/>
            <a:cs typeface="Vazirmatn" pitchFamily="2" charset="-78"/>
          </a:endParaRPr>
        </a:p>
        <a:p>
          <a:pPr algn="r" rtl="1"/>
          <a:r>
            <a:rPr lang="fa-IR" sz="1100" kern="1200">
              <a:latin typeface="Vazirmatn" pitchFamily="2" charset="-78"/>
              <a:cs typeface="Vazirmatn" pitchFamily="2" charset="-78"/>
            </a:rPr>
            <a:t>لطفا برای همه کاربران دلیل خود را از وجود و عدم وجود آن ارسال بفرمایید.</a:t>
          </a:r>
        </a:p>
        <a:p>
          <a:pPr algn="r" rtl="1"/>
          <a:endParaRPr lang="en-US" sz="1100" kern="1200">
            <a:latin typeface="Vazirmatn" pitchFamily="2" charset="-78"/>
            <a:cs typeface="Vazirmatn" pitchFamily="2" charset="-7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56361</xdr:colOff>
      <xdr:row>0</xdr:row>
      <xdr:rowOff>60172</xdr:rowOff>
    </xdr:from>
    <xdr:to>
      <xdr:col>11</xdr:col>
      <xdr:colOff>287489</xdr:colOff>
      <xdr:row>3</xdr:row>
      <xdr:rowOff>124810</xdr:rowOff>
    </xdr:to>
    <xdr:sp macro="" textlink="">
      <xdr:nvSpPr>
        <xdr:cNvPr id="2" name="TextBox 1">
          <a:extLst>
            <a:ext uri="{FF2B5EF4-FFF2-40B4-BE49-F238E27FC236}">
              <a16:creationId xmlns:a16="http://schemas.microsoft.com/office/drawing/2014/main" id="{279BDB4E-B19E-437B-B593-9BB22AFA6DF2}"/>
            </a:ext>
          </a:extLst>
        </xdr:cNvPr>
        <xdr:cNvSpPr txBox="1"/>
      </xdr:nvSpPr>
      <xdr:spPr>
        <a:xfrm>
          <a:off x="6927499" y="60172"/>
          <a:ext cx="3384231" cy="6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100" b="0" kern="1200">
              <a:latin typeface="Vazirmatn" pitchFamily="2" charset="-78"/>
              <a:cs typeface="Vazirmatn" pitchFamily="2" charset="-78"/>
            </a:rPr>
            <a:t>کاربران سیستمی</a:t>
          </a:r>
          <a:r>
            <a:rPr lang="fa-IR" sz="1100" b="0" kern="1200" baseline="0">
              <a:latin typeface="Vazirmatn" pitchFamily="2" charset="-78"/>
              <a:cs typeface="Vazirmatn" pitchFamily="2" charset="-78"/>
            </a:rPr>
            <a:t> مورد نیاز که برای مثال میتوان به موارد روبه‌رو اشاره کرد</a:t>
          </a:r>
          <a:endParaRPr lang="en-US" sz="1100" b="0" kern="1200">
            <a:latin typeface="Vazirmatn" pitchFamily="2" charset="-78"/>
            <a:cs typeface="Vazirmatn" pitchFamily="2" charset="-7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95250</xdr:colOff>
      <xdr:row>0</xdr:row>
      <xdr:rowOff>79058</xdr:rowOff>
    </xdr:from>
    <xdr:to>
      <xdr:col>12</xdr:col>
      <xdr:colOff>591502</xdr:colOff>
      <xdr:row>3</xdr:row>
      <xdr:rowOff>89297</xdr:rowOff>
    </xdr:to>
    <xdr:sp macro="" textlink="">
      <xdr:nvSpPr>
        <xdr:cNvPr id="2" name="TextBox 1">
          <a:extLst>
            <a:ext uri="{FF2B5EF4-FFF2-40B4-BE49-F238E27FC236}">
              <a16:creationId xmlns:a16="http://schemas.microsoft.com/office/drawing/2014/main" id="{33444B61-12D1-4532-B650-B14D8B87AA02}"/>
            </a:ext>
          </a:extLst>
        </xdr:cNvPr>
        <xdr:cNvSpPr txBox="1"/>
      </xdr:nvSpPr>
      <xdr:spPr>
        <a:xfrm>
          <a:off x="6792516" y="79058"/>
          <a:ext cx="3651408" cy="546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100" b="0" kern="1200">
              <a:latin typeface="Vazirmatn" pitchFamily="2" charset="-78"/>
              <a:cs typeface="Vazirmatn" pitchFamily="2" charset="-78"/>
            </a:rPr>
            <a:t>کاربرانی که به</a:t>
          </a:r>
          <a:r>
            <a:rPr lang="fa-IR" sz="1100" b="0" kern="1200" baseline="0">
              <a:latin typeface="Vazirmatn" pitchFamily="2" charset="-78"/>
              <a:cs typeface="Vazirmatn" pitchFamily="2" charset="-78"/>
            </a:rPr>
            <a:t> صورت سرویس های مورد نیاز روی سیستم عامل نصب شده اند که برای مثال میتوان به موارد روبه‌رو اشاره کرد</a:t>
          </a:r>
          <a:endParaRPr lang="en-US" sz="1100" b="0" kern="1200">
            <a:latin typeface="Vazirmatn" pitchFamily="2" charset="-78"/>
            <a:cs typeface="Vazirmatn" pitchFamily="2" charset="-7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345281</xdr:colOff>
      <xdr:row>0</xdr:row>
      <xdr:rowOff>54770</xdr:rowOff>
    </xdr:from>
    <xdr:to>
      <xdr:col>14</xdr:col>
      <xdr:colOff>412103</xdr:colOff>
      <xdr:row>2</xdr:row>
      <xdr:rowOff>50593</xdr:rowOff>
    </xdr:to>
    <xdr:sp macro="" textlink="">
      <xdr:nvSpPr>
        <xdr:cNvPr id="2" name="TextBox 1">
          <a:extLst>
            <a:ext uri="{FF2B5EF4-FFF2-40B4-BE49-F238E27FC236}">
              <a16:creationId xmlns:a16="http://schemas.microsoft.com/office/drawing/2014/main" id="{E06E3D9F-B9C7-4AD3-8D1E-6A38083C0860}"/>
            </a:ext>
          </a:extLst>
        </xdr:cNvPr>
        <xdr:cNvSpPr txBox="1"/>
      </xdr:nvSpPr>
      <xdr:spPr>
        <a:xfrm>
          <a:off x="7536656" y="54770"/>
          <a:ext cx="2505222" cy="376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ip route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31671</xdr:colOff>
      <xdr:row>1</xdr:row>
      <xdr:rowOff>44529</xdr:rowOff>
    </xdr:from>
    <xdr:to>
      <xdr:col>18</xdr:col>
      <xdr:colOff>55006</xdr:colOff>
      <xdr:row>10</xdr:row>
      <xdr:rowOff>0</xdr:rowOff>
    </xdr:to>
    <xdr:sp macro="" textlink="">
      <xdr:nvSpPr>
        <xdr:cNvPr id="2" name="TextBox 1">
          <a:extLst>
            <a:ext uri="{FF2B5EF4-FFF2-40B4-BE49-F238E27FC236}">
              <a16:creationId xmlns:a16="http://schemas.microsoft.com/office/drawing/2014/main" id="{9154DB81-5750-425F-AADB-B846D0A569AD}"/>
            </a:ext>
          </a:extLst>
        </xdr:cNvPr>
        <xdr:cNvSpPr txBox="1"/>
      </xdr:nvSpPr>
      <xdr:spPr>
        <a:xfrm>
          <a:off x="12280821" y="235029"/>
          <a:ext cx="5509735" cy="18842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100" kern="1200">
              <a:latin typeface="Vazirmatn" pitchFamily="2" charset="-78"/>
              <a:cs typeface="Vazirmatn" pitchFamily="2" charset="-78"/>
            </a:rPr>
            <a:t>ملاحظات امنیتی گروه های سیستم عامل:</a:t>
          </a:r>
        </a:p>
        <a:p>
          <a:pPr algn="r" rtl="1"/>
          <a:r>
            <a:rPr lang="fa-IR" sz="1100" kern="1200">
              <a:latin typeface="Vazirmatn" pitchFamily="2" charset="-78"/>
              <a:cs typeface="Vazirmatn" pitchFamily="2" charset="-78"/>
            </a:rPr>
            <a:t>حذف گروه های بلااستفاده: برای مثال </a:t>
          </a:r>
          <a:r>
            <a:rPr lang="en-US" sz="1100" kern="1200">
              <a:latin typeface="Vazirmatn" pitchFamily="2" charset="-78"/>
              <a:cs typeface="Vazirmatn" pitchFamily="2" charset="-78"/>
            </a:rPr>
            <a:t>games،videos </a:t>
          </a:r>
          <a:r>
            <a:rPr lang="fa-IR" sz="1100" kern="1200">
              <a:latin typeface="Vazirmatn" pitchFamily="2" charset="-78"/>
              <a:cs typeface="Vazirmatn" pitchFamily="2" charset="-78"/>
            </a:rPr>
            <a:t>و ...</a:t>
          </a:r>
          <a:endParaRPr lang="en-US" sz="1100" kern="1200">
            <a:latin typeface="Vazirmatn" pitchFamily="2" charset="-78"/>
            <a:cs typeface="Vazirmatn" pitchFamily="2" charset="-78"/>
          </a:endParaRPr>
        </a:p>
        <a:p>
          <a:pPr algn="r" rtl="1"/>
          <a:r>
            <a:rPr lang="fa-IR" sz="1100" kern="1200">
              <a:latin typeface="Vazirmatn" pitchFamily="2" charset="-78"/>
              <a:cs typeface="Vazirmatn" pitchFamily="2" charset="-78"/>
            </a:rPr>
            <a:t>لطفا برای همه گروه ها دلیل خود را از وجود و عدم وجود آن ارسال بفرمایید.</a:t>
          </a:r>
        </a:p>
        <a:p>
          <a:pPr algn="r" rtl="1"/>
          <a:endParaRPr lang="en-US" sz="1100" kern="1200">
            <a:latin typeface="Vazirmatn" pitchFamily="2" charset="-78"/>
            <a:cs typeface="Vazirmatn" pitchFamily="2" charset="-7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517255</xdr:colOff>
      <xdr:row>0</xdr:row>
      <xdr:rowOff>454025</xdr:rowOff>
    </xdr:from>
    <xdr:to>
      <xdr:col>12</xdr:col>
      <xdr:colOff>39686</xdr:colOff>
      <xdr:row>6</xdr:row>
      <xdr:rowOff>80362</xdr:rowOff>
    </xdr:to>
    <xdr:sp macro="" textlink="">
      <xdr:nvSpPr>
        <xdr:cNvPr id="2" name="TextBox 1">
          <a:extLst>
            <a:ext uri="{FF2B5EF4-FFF2-40B4-BE49-F238E27FC236}">
              <a16:creationId xmlns:a16="http://schemas.microsoft.com/office/drawing/2014/main" id="{4557E65F-3B5E-400D-9530-9832DFC99FE3}"/>
            </a:ext>
          </a:extLst>
        </xdr:cNvPr>
        <xdr:cNvSpPr txBox="1"/>
      </xdr:nvSpPr>
      <xdr:spPr>
        <a:xfrm>
          <a:off x="15388161" y="6252369"/>
          <a:ext cx="3237181" cy="15313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ps -U root -u root -o pid,cmd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566507</xdr:colOff>
      <xdr:row>0</xdr:row>
      <xdr:rowOff>309004</xdr:rowOff>
    </xdr:from>
    <xdr:to>
      <xdr:col>9</xdr:col>
      <xdr:colOff>385599</xdr:colOff>
      <xdr:row>3</xdr:row>
      <xdr:rowOff>8014</xdr:rowOff>
    </xdr:to>
    <xdr:sp macro="" textlink="">
      <xdr:nvSpPr>
        <xdr:cNvPr id="2" name="TextBox 1">
          <a:extLst>
            <a:ext uri="{FF2B5EF4-FFF2-40B4-BE49-F238E27FC236}">
              <a16:creationId xmlns:a16="http://schemas.microsoft.com/office/drawing/2014/main" id="{617A4F77-7853-7872-3CE9-9ED9B5C64A36}"/>
            </a:ext>
          </a:extLst>
        </xdr:cNvPr>
        <xdr:cNvSpPr txBox="1"/>
      </xdr:nvSpPr>
      <xdr:spPr>
        <a:xfrm>
          <a:off x="7033982" y="309004"/>
          <a:ext cx="1647892" cy="651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no crontab for root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11430</xdr:colOff>
      <xdr:row>0</xdr:row>
      <xdr:rowOff>0</xdr:rowOff>
    </xdr:from>
    <xdr:to>
      <xdr:col>10</xdr:col>
      <xdr:colOff>154158</xdr:colOff>
      <xdr:row>4</xdr:row>
      <xdr:rowOff>38100</xdr:rowOff>
    </xdr:to>
    <xdr:sp macro="" textlink="">
      <xdr:nvSpPr>
        <xdr:cNvPr id="2" name="TextBox 1">
          <a:extLst>
            <a:ext uri="{FF2B5EF4-FFF2-40B4-BE49-F238E27FC236}">
              <a16:creationId xmlns:a16="http://schemas.microsoft.com/office/drawing/2014/main" id="{E574D473-DA91-4D53-AE3D-556905AEBCF7}"/>
            </a:ext>
          </a:extLst>
        </xdr:cNvPr>
        <xdr:cNvSpPr txBox="1"/>
      </xdr:nvSpPr>
      <xdr:spPr>
        <a:xfrm>
          <a:off x="13660755" y="0"/>
          <a:ext cx="2466828" cy="1583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env</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110490</xdr:colOff>
      <xdr:row>0</xdr:row>
      <xdr:rowOff>184785</xdr:rowOff>
    </xdr:from>
    <xdr:to>
      <xdr:col>9</xdr:col>
      <xdr:colOff>253218</xdr:colOff>
      <xdr:row>2</xdr:row>
      <xdr:rowOff>1119700</xdr:rowOff>
    </xdr:to>
    <xdr:sp macro="" textlink="">
      <xdr:nvSpPr>
        <xdr:cNvPr id="2" name="TextBox 1">
          <a:extLst>
            <a:ext uri="{FF2B5EF4-FFF2-40B4-BE49-F238E27FC236}">
              <a16:creationId xmlns:a16="http://schemas.microsoft.com/office/drawing/2014/main" id="{518AB541-2074-49CB-90FF-A75C3ACF721D}"/>
            </a:ext>
          </a:extLst>
        </xdr:cNvPr>
        <xdr:cNvSpPr txBox="1"/>
      </xdr:nvSpPr>
      <xdr:spPr>
        <a:xfrm>
          <a:off x="11902440" y="184785"/>
          <a:ext cx="2581128" cy="2077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cat /home/$user/.ssh/authorized_keys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Padrasys\Padrasys-New\MCI\CT\Router%20Sina\SINOS-SR4100-54H_Security_Assessment_FINAL_Report.xlsx" TargetMode="External"/><Relationship Id="rId1" Type="http://schemas.openxmlformats.org/officeDocument/2006/relationships/externalLinkPath" Target="MCI/CT/Router%20Sina/SINOS-SR4100-54H_Security_Assessment_FINAL_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Document Information"/>
      <sheetName val="Summary"/>
      <sheetName val="Vulnerabilities"/>
      <sheetName val="Compliance"/>
      <sheetName val="Package"/>
      <sheetName val="Users"/>
      <sheetName val="Groups"/>
      <sheetName val="Routes"/>
      <sheetName val="Cron Jobs"/>
      <sheetName val="Processes Running by root"/>
      <sheetName val="Environment"/>
      <sheetName val="ssh known hosts"/>
      <sheetName val="SINOS-SR4100-54H_Security_Asses"/>
    </sheetNames>
    <sheetDataSet>
      <sheetData sheetId="0"/>
      <sheetData sheetId="1"/>
      <sheetData sheetId="2">
        <row r="2">
          <cell r="A2" t="str">
            <v>Critical</v>
          </cell>
        </row>
      </sheetData>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502B9CF-2ECF-4FDF-B07D-6DC541A9CBD7}" name="Table14" displayName="Table14" ref="A1:H2" totalsRowShown="0" headerRowDxfId="225" dataDxfId="224">
  <autoFilter ref="A1:H2" xr:uid="{BAD74F25-9D81-4E37-A1F2-5FF30C0C7DD7}"/>
  <tableColumns count="8">
    <tableColumn id="1" xr3:uid="{4B3C8D2D-8E01-46EB-907A-6CF049BCAB5C}" name="OS Description"/>
    <tableColumn id="2" xr3:uid="{8C21F2C3-4D2C-4D92-ADAB-E0AF61CAB896}" name="Hostname"/>
    <tableColumn id="3" xr3:uid="{2BF7AA2A-FEE6-4D62-9985-EE4874585A14}" name="IP Address (OAM)"/>
    <tableColumn id="4" xr3:uid="{71F2B951-4F4E-4690-B1EF-257CDDF8B1F1}" name="MAC Address"/>
    <tableColumn id="5" xr3:uid="{BF94BECB-4C9A-4729-973A-5C94B1A73644}" name="OS (uname -a)" dataDxfId="223"/>
    <tableColumn id="6" xr3:uid="{079169CD-4B65-4E0D-B40E-4DEF83D77603}" name="SOC Agent" dataDxfId="222"/>
    <tableColumn id="7" xr3:uid="{D91C7964-7FFE-487E-8CBA-25C83C2E09B1}" name="TCP/UDP open Ports Inbound" dataDxfId="221"/>
    <tableColumn id="8" xr3:uid="{347D88AC-A2B8-46B8-A240-80E4B4EB781F}" name="TCP/UDP open Ports Outban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E69F128-F962-4176-9156-F1588AFB7FFE}" name="Table5" displayName="Table5" ref="A2:N9" totalsRowShown="0" headerRowDxfId="220" dataDxfId="218" headerRowBorderDxfId="219" tableBorderDxfId="217">
  <autoFilter ref="A2:N9" xr:uid="{CFE16205-D65B-43CB-B942-E071FCF41242}"/>
  <tableColumns count="14">
    <tableColumn id="1" xr3:uid="{85349AB2-23CD-45F8-AA26-E9CB39F13BC7}" name="VRF Name" dataDxfId="216"/>
    <tableColumn id="2" xr3:uid="{27807BF9-14BD-4881-97A5-2F3C3E0E94CC}" name="Interface Name" dataDxfId="215"/>
    <tableColumn id="3" xr3:uid="{9E7C9D2F-DF5A-4E23-9663-3DFEE4FEC2BC}" name="Source Name" dataDxfId="214"/>
    <tableColumn id="4" xr3:uid="{F533DBE0-7C9F-4D7F-88E6-5425222BDBFC}" name="Source IP Address" dataDxfId="213"/>
    <tableColumn id="5" xr3:uid="{34896E67-D730-4BE7-8476-5FFE23EB8F95}" name="Source Port" dataDxfId="212"/>
    <tableColumn id="6" xr3:uid="{C482CE70-AE1A-49C9-BDCA-D53A7D21A2C6}" name="Protocol" dataDxfId="211"/>
    <tableColumn id="13" xr3:uid="{44B95C72-FA71-4C3A-8E9E-CCF417590B00}" name="Destination Name" dataDxfId="210"/>
    <tableColumn id="7" xr3:uid="{56DB8EB2-C4AB-4787-B8F4-C73BE276CEEF}" name="Destination IP Address" dataDxfId="209"/>
    <tableColumn id="8" xr3:uid="{30D80A7C-2BFD-41C4-9C9E-F3CB0BE79A0D}" name="Destination Port" dataDxfId="208"/>
    <tableColumn id="9" xr3:uid="{A00C3189-2AE9-4FAC-A0A5-73A3BC3D18BF}" name="State" dataDxfId="207"/>
    <tableColumn id="14" xr3:uid="{E6B5CD93-E1DF-4BE1-8E3F-1AB104A326B0}" name="Purpose / Notes" dataDxfId="206"/>
    <tableColumn id="10" xr3:uid="{F36DFB7D-8DE7-4895-BC79-0185AB74EFA7}" name="Security Comment" dataDxfId="205"/>
    <tableColumn id="11" xr3:uid="{0916134C-C784-4114-8063-927540D05F30}" name="Owner Comments" dataDxfId="204"/>
    <tableColumn id="16" xr3:uid="{5BD99BF4-7950-47A5-B51A-EC693895304A}" name="Security Reviews" dataDxfId="20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F954CC3-5964-43E5-96C4-980BA32A96FF}" name="ActiveConnectionsTable" displayName="ActiveConnectionsTable" ref="A14:N34" totalsRowShown="0" headerRowDxfId="202" dataDxfId="201">
  <autoFilter ref="A14:N34" xr:uid="{11E14945-51B5-4788-AE4F-C6C5F9FF290D}"/>
  <tableColumns count="14">
    <tableColumn id="1" xr3:uid="{5BCB92D1-7C92-4590-9865-5E7461BAD5FA}" name="Protocol" dataDxfId="200"/>
    <tableColumn id="2" xr3:uid="{54B487AF-0DE0-40CF-BBCA-CEDED360620C}" name="Recv-Q" dataDxfId="199"/>
    <tableColumn id="3" xr3:uid="{B4928972-554E-4B1E-92A8-BA669C5BCF91}" name="Send-Q" dataDxfId="198"/>
    <tableColumn id="4" xr3:uid="{1295AFF7-6411-4DEF-B0AB-AB20FCA88BCC}" name="Source IP Address" dataDxfId="197"/>
    <tableColumn id="5" xr3:uid="{3A04E7C6-BD99-4601-A75A-66D5D3DFE365}" name="Source Port Number" dataDxfId="196"/>
    <tableColumn id="6" xr3:uid="{0AC66E78-58A4-47E4-A6C0-3D0B58DEA9B8}" name="Destination IP Address" dataDxfId="195"/>
    <tableColumn id="7" xr3:uid="{B617724E-CE9B-4AA8-9F80-26AC389796D9}" name="Destination Port Number" dataDxfId="194"/>
    <tableColumn id="8" xr3:uid="{29847420-E0E6-4924-9434-7E967AD8D342}" name="State" dataDxfId="193"/>
    <tableColumn id="9" xr3:uid="{57933D49-50E3-4BDE-A01E-AC66E1EABD5E}" name="User" dataDxfId="192"/>
    <tableColumn id="10" xr3:uid="{4DBCAF4A-9163-4108-AE95-95EF6C0DFEBF}" name="Inode" dataDxfId="191"/>
    <tableColumn id="11" xr3:uid="{4E1CDD21-71CA-4A00-AF55-35B371E4991A}" name="Identified / Likely Service" dataDxfId="190"/>
    <tableColumn id="12" xr3:uid="{BCB68B28-463D-412C-976B-A8C6A32B8756}" name="Security Comment" dataDxfId="189"/>
    <tableColumn id="13" xr3:uid="{E4011F51-9516-4F9A-A27F-81694DE4208B}" name="Owner Comments" dataDxfId="188"/>
    <tableColumn id="14" xr3:uid="{A48E2019-793E-4B06-8F2D-DC7E7A6A4F2D}" name="Security Reviews" dataDxfId="187"/>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C421C7-DA5D-43A1-A4DF-2273C9C782AF}" name="FirewallRulesP1" displayName="FirewallRulesP1" ref="A37:F43" totalsRowShown="0" headerRowDxfId="186" dataDxfId="185">
  <autoFilter ref="A37:F43" xr:uid="{7BF2C5E4-16B8-4156-93ED-5F8554034994}"/>
  <tableColumns count="6">
    <tableColumn id="1" xr3:uid="{951A2F4E-908F-4EC2-B5DA-F26B7D29E7F5}" name="Rule Type" dataDxfId="184"/>
    <tableColumn id="2" xr3:uid="{C5E3F22E-E4E7-438D-AAA4-A49E7FD6C1C4}" name="Chain/Rule Name" dataDxfId="183"/>
    <tableColumn id="3" xr3:uid="{1396605B-6F5B-42A5-BDC9-593A74DD5B09}" name="Specification" dataDxfId="182"/>
    <tableColumn id="4" xr3:uid="{8C3FA632-68C8-4B05-9B57-5E4EC11A416F}" name="Security Comment" dataDxfId="181"/>
    <tableColumn id="5" xr3:uid="{1DE8FE1A-DB1F-4D60-BD90-89A3943C978F}" name="Owner Comments" dataDxfId="180"/>
    <tableColumn id="6" xr3:uid="{B8AA29C1-E5DE-4A29-B3DB-E3533C5CEA54}" name="Security Reviews" dataDxfId="179"/>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FE70DC0-09BC-4D8B-8532-A2C2D155BFA5}" name="FirewallRulesP2" displayName="FirewallRulesP2" ref="A46:N49" totalsRowShown="0" headerRowDxfId="178" dataDxfId="177">
  <autoFilter ref="A46:N49" xr:uid="{8FF9967E-EFDA-4110-9A63-877A003AF3B2}"/>
  <tableColumns count="14">
    <tableColumn id="1" xr3:uid="{0C93FA83-4F21-4593-8EF6-771A475EFD6F}" name="Chain" dataDxfId="176"/>
    <tableColumn id="2" xr3:uid="{C844C328-7118-4DB2-A45D-C1BB8824E4EA}" name="Packets" dataDxfId="175"/>
    <tableColumn id="3" xr3:uid="{86FC79D0-758B-4F39-AC7A-0CBEC0843B05}" name="Bytes" dataDxfId="174"/>
    <tableColumn id="4" xr3:uid="{4FC26FAB-7436-45C9-92B5-5E45AA4F04B3}" name="Target" dataDxfId="173"/>
    <tableColumn id="5" xr3:uid="{43EE9127-C931-49B1-88A1-3902304AE9E0}" name="Protocol" dataDxfId="172"/>
    <tableColumn id="6" xr3:uid="{4713660F-5119-4C48-B5BB-22DBF85E3E49}" name="Opt" dataDxfId="171"/>
    <tableColumn id="7" xr3:uid="{EC59BFA3-79A8-44FB-9E9B-7B140F1ABD18}" name="In" dataDxfId="170"/>
    <tableColumn id="8" xr3:uid="{16BB0AFA-563C-41F8-BA93-D6AE670BCD7A}" name="Out" dataDxfId="169"/>
    <tableColumn id="9" xr3:uid="{CF824B5B-09F1-4EF8-A924-F43D0493B563}" name="Source" dataDxfId="168"/>
    <tableColumn id="10" xr3:uid="{0D6DA046-DC7A-4DD5-95EC-0F72E0BFD382}" name="Destination" dataDxfId="167"/>
    <tableColumn id="11" xr3:uid="{4A3864BB-D570-48C3-8776-D39019590515}" name="Extra" dataDxfId="166"/>
    <tableColumn id="12" xr3:uid="{2CF8A387-9347-41E4-8252-9F65DA8ED981}" name="Security Comment" dataDxfId="165"/>
    <tableColumn id="13" xr3:uid="{0D40586F-4B16-4A4C-97DA-CCD9070D07C0}" name="Owner Comments" dataDxfId="164"/>
    <tableColumn id="14" xr3:uid="{BEDB7985-6FD2-47DC-9BD2-559D60DBED51}" name="Security Reviews" dataDxfId="163"/>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0080698-FEAF-42B9-9CDC-46E0BE905939}" name="ARPTable" displayName="ARPTable" ref="A55:H87" totalsRowShown="0" headerRowDxfId="162" dataDxfId="161">
  <autoFilter ref="A55:H87" xr:uid="{970CD61E-F3E6-45E1-A453-7074A32D19B4}"/>
  <tableColumns count="8">
    <tableColumn id="1" xr3:uid="{D1E83B78-FFE6-41B0-8691-938CA6F34FA3}" name="Interface" dataDxfId="160"/>
    <tableColumn id="2" xr3:uid="{8175C6AA-DDB7-4285-A048-6FD833A22640}" name="Source Name" dataDxfId="159"/>
    <tableColumn id="3" xr3:uid="{808AB209-A31A-42EB-85EB-7A1B3C247AB4}" name="Neighbor IP" dataDxfId="158"/>
    <tableColumn id="4" xr3:uid="{60819BD5-9954-4E1D-9F46-97D1F355D3A8}" name="Destination MAC" dataDxfId="157"/>
    <tableColumn id="5" xr3:uid="{0961EA14-8300-4968-BC04-A3D4A09F01E6}" name="State" dataDxfId="156"/>
    <tableColumn id="6" xr3:uid="{665F5888-C30A-49F9-AAD3-9E71421391EE}" name="Security Comment" dataDxfId="155"/>
    <tableColumn id="7" xr3:uid="{F970E786-07BE-46D1-AF0D-8E4A8E277A7F}" name="Owner Comments" dataDxfId="154"/>
    <tableColumn id="8" xr3:uid="{3D35A975-3643-42C1-921C-BF15F7F3E222}" name="Security Reviews" dataDxfId="15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817F5B9-CDFD-4A2E-97D0-FA763DDC1951}" name="Table22" displayName="Table22" ref="A1:V10" totalsRowShown="0" headerRowBorderDxfId="152" tableBorderDxfId="151" totalsRowBorderDxfId="150">
  <autoFilter ref="A1:V10" xr:uid="{5817F5B9-CDFD-4A2E-97D0-FA763DDC1951}"/>
  <tableColumns count="22">
    <tableColumn id="1" xr3:uid="{178D7C87-9ED5-4DAB-A398-BE4257CEBC62}" name="NUM" dataDxfId="149"/>
    <tableColumn id="2" xr3:uid="{490C0BF6-458F-4341-A696-FCF3CE8F0970}" name="CVE" dataDxfId="148"/>
    <tableColumn id="3" xr3:uid="{DDE2B5F6-7821-4991-8B27-669D075D7C4C}" name="Risk Severity" dataDxfId="147"/>
    <tableColumn id="4" xr3:uid="{C84D3199-AC47-44AC-9F7C-3A07800D0EAF}" name="Name" dataDxfId="146"/>
    <tableColumn id="5" xr3:uid="{48CB62A6-513C-4CE3-B5D4-C9B8640EECA1}" name="Description" dataDxfId="145"/>
    <tableColumn id="6" xr3:uid="{D1B6DED4-C5CA-4C4A-AB26-150BA95521C6}" name="Solution" dataDxfId="144"/>
    <tableColumn id="7" xr3:uid="{1BCB003D-4E09-4CF0-B11D-FDB65ABD69DF}" name="Component" dataDxfId="143"/>
    <tableColumn id="8" xr3:uid="{CE09F50E-B550-46CF-AA1D-904533A8FBEE}" name="Installed version" dataDxfId="142"/>
    <tableColumn id="9" xr3:uid="{C1A14DE0-D184-419E-A697-7BA09A7A9801}" name="Fixed version" dataDxfId="141"/>
    <tableColumn id="10" xr3:uid="{2DFA78BA-8846-407A-8EB7-13BF1E7552D8}" name="Missing patch " dataDxfId="140"/>
    <tableColumn id="11" xr3:uid="{880E9B9D-D475-4E59-8949-D0F4F2B9CC21}" name="Path" dataDxfId="139"/>
    <tableColumn id="12" xr3:uid="{587B7A15-C3E6-485B-BD86-8DDC33CB316F}" name="Remote package installed" dataDxfId="138"/>
    <tableColumn id="13" xr3:uid="{2C068DDA-F099-42F2-8246-9E56BC5D4F50}" name="Should be" dataDxfId="137"/>
    <tableColumn id="14" xr3:uid="{306F9743-39E6-4EAA-88C8-733E55AE4F1E}" name="Third-Party Advice" dataDxfId="136"/>
    <tableColumn id="15" xr3:uid="{0BFECB95-B490-4599-B0F0-473116D51F84}" name="Advice Type" dataDxfId="135"/>
    <tableColumn id="16" xr3:uid="{45993E4B-F358-473D-9495-84A9C57CCF59}" name="Security Comments" dataDxfId="134"/>
    <tableColumn id="17" xr3:uid="{EB8CF1AC-EA48-4186-8667-042A678A6D3C}" name="Owner Comments" dataDxfId="133"/>
    <tableColumn id="18" xr3:uid="{2DD41951-2B04-4B6B-BB13-97B23B006EED}" name="Security Reviews" dataDxfId="132"/>
    <tableColumn id="19" xr3:uid="{1D56A8FF-16A9-48B9-AFC2-1F5DC3DFCCEF}" name="Audit 1" dataDxfId="131"/>
    <tableColumn id="20" xr3:uid="{2D4A9F68-24BE-43D9-B39F-8B0DC0C5AA88}" name="Security Reviews2" dataDxfId="130"/>
    <tableColumn id="21" xr3:uid="{BFD96458-7236-43CC-9062-65F537035544}" name="Audit 2" dataDxfId="129"/>
    <tableColumn id="22" xr3:uid="{F7F99944-6867-4E0F-8304-E029B96CA737}" name="Security Reviews3"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ECA2B1-24A6-476B-B1FE-1F3181274F9B}" name="Table114" displayName="Table114" ref="A17:G339" totalsRowShown="0" headerRowDxfId="127" dataDxfId="125" headerRowBorderDxfId="126">
  <autoFilter ref="A17:G339" xr:uid="{FF071769-2799-45F0-A794-59A31C9035ED}"/>
  <sortState xmlns:xlrd2="http://schemas.microsoft.com/office/spreadsheetml/2017/richdata2" ref="A18:G339">
    <sortCondition ref="B17:B339"/>
  </sortState>
  <tableColumns count="7">
    <tableColumn id="1" xr3:uid="{4A17E4D9-19E8-4D71-9131-4E8E84225DB3}" name="No. " dataDxfId="124"/>
    <tableColumn id="2" xr3:uid="{97F9EFD7-9EF3-40FF-9714-D98551FE0AB8}" name="Title|Name Testcase" dataDxfId="123"/>
    <tableColumn id="3" xr3:uid="{945B8E57-51B3-4023-95F2-B9752B6D1B37}" name="Info|Description" dataDxfId="122"/>
    <tableColumn id="4" xr3:uid="{C645724B-1786-429B-B35C-FB09A91666A4}" name="Check" dataDxfId="121"/>
    <tableColumn id="5" xr3:uid="{2C8910E3-F2B8-4902-AB18-6EE390E43399}" name="Fix|Solution" dataDxfId="120"/>
    <tableColumn id="6" xr3:uid="{16BA230F-3F15-4243-B94B-CBDA6C69F722}" name="Policy Value" dataDxfId="119"/>
    <tableColumn id="7" xr3:uid="{D39E8915-FD44-4DF5-A61A-1BB9655A0E77}" name="Result" dataDxfId="118"/>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5454B7-1D8F-4CDE-A4BD-C5A0D50B96C4}" name="Table219" displayName="Table219" ref="H17:O339" totalsRowShown="0" headerRowDxfId="117" dataDxfId="115" headerRowBorderDxfId="116">
  <autoFilter ref="H17:O339" xr:uid="{76207AAE-3750-4BCC-8D41-14B1DF37C5C8}"/>
  <tableColumns count="8">
    <tableColumn id="1" xr3:uid="{87DB6161-F221-4C7A-916B-DF9469F481A8}" name="Auditor's Status" dataDxfId="114"/>
    <tableColumn id="2" xr3:uid="{B4B5FADE-FEA8-48FF-98D6-E2F2121BC1F6}" name="Auditor's Comment" dataDxfId="113"/>
    <tableColumn id="3" xr3:uid="{086099B9-633E-4633-AF6F-429695DF330D}" name=" Owner's Status" dataDxfId="112"/>
    <tableColumn id="4" xr3:uid="{AF2573D6-B414-4AD2-AB68-00B29BA0B292}" name="Owner's Comment" dataDxfId="111"/>
    <tableColumn id="5" xr3:uid="{F67209AA-1A0B-4D9D-BD47-CCF886BCC0E0}" name="Auditor's Status2" dataDxfId="110"/>
    <tableColumn id="6" xr3:uid="{C5A46715-EE9C-4CFE-A552-A8E5C801F7A7}" name="Auditor's Comment2" dataDxfId="109"/>
    <tableColumn id="7" xr3:uid="{41BED974-131D-4B0B-B1D8-86C47609E594}" name=" Owner's Status2" dataDxfId="108"/>
    <tableColumn id="8" xr3:uid="{38082956-757F-4DDE-9278-74BBC0AA4495}" name="Owner's Comment2" dataDxfId="10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DC245E-D1C8-43F4-97AB-7D23E0F2F9A7}" name="Table320" displayName="Table320" ref="A8:G10" totalsRowShown="0" headerRowDxfId="106" dataDxfId="104" headerRowBorderDxfId="105" tableBorderDxfId="103" totalsRowBorderDxfId="102">
  <tableColumns count="7">
    <tableColumn id="1" xr3:uid="{198B2552-AA11-4989-ABBB-7CC1BED9EE81}" name="No." dataDxfId="101"/>
    <tableColumn id="3" xr3:uid="{7DAD6821-9E78-47FA-A7B7-1E1EDA68232E}" name="Done" dataDxfId="100"/>
    <tableColumn id="4" xr3:uid="{53324A5E-5B10-477D-B491-76ABE0D34F12}" name="Undone" dataDxfId="99"/>
    <tableColumn id="5" xr3:uid="{907147B3-DBEA-429C-9EBC-A35FE4ADD17C}" name="N/A" dataDxfId="98"/>
    <tableColumn id="6" xr3:uid="{4D257CB5-C75B-4D59-832B-3728C3E3E9B6}" name="Missing Evidence" dataDxfId="97"/>
    <tableColumn id="2" xr3:uid="{A89262BD-2E26-4CC2-9B42-985F14427B6D}" name="Manual Review" dataDxfId="96">
      <calculatedColumnFormula>COUNTIF([1]!Table219[Auditor''s Status],Table320[[#Headers],[Manual Review]])</calculatedColumnFormula>
    </tableColumn>
    <tableColumn id="7" xr3:uid="{7102B4DD-3770-4F2B-9B3A-360CB150D48E}" name="Inprogress" dataDxfId="95">
      <calculatedColumnFormula>COUNTIF([1]!Table219[Auditor''s Status],Table320[[#Headers],[Inprogress]])</calculatedColumnFormula>
    </tableColumn>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0F5D6E0-60F7-40B4-967D-CD75B3F6560C}" name="Table21" displayName="Table21" ref="A1:D14" totalsRowShown="0" headerRowDxfId="94" dataDxfId="93" tableBorderDxfId="92">
  <autoFilter ref="A1:D14" xr:uid="{D0F5D6E0-60F7-40B4-967D-CD75B3F6560C}"/>
  <tableColumns count="4">
    <tableColumn id="1" xr3:uid="{055D1C0D-C24D-45B8-A9F4-3A213C103C79}" name="Remediations" dataDxfId="91"/>
    <tableColumn id="2" xr3:uid="{93561B7A-0FF7-490A-8CA2-4B074672AFEE}" name="Security Comment" dataDxfId="90"/>
    <tableColumn id="3" xr3:uid="{F1BAFEEA-BB15-4567-AA05-54CC69E32C56}" name="Owner Comment" dataDxfId="89"/>
    <tableColumn id="4" xr3:uid="{7D0A1DA4-7C25-4D68-AE30-EF31F614B281}" name="Security Reviews" dataDxfId="8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517506-D5FC-4049-B357-68042A5C7BB7}" name="Table475" displayName="Table475" ref="A1:D30" totalsRowShown="0" headerRowDxfId="87" dataDxfId="86">
  <autoFilter ref="A1:D30" xr:uid="{7D902AF9-349B-4948-9182-EDE9A319D730}"/>
  <tableColumns count="4">
    <tableColumn id="1" xr3:uid="{B54ED008-A81F-46E0-A218-ED4B4BCD87DD}" name="Package" dataDxfId="85"/>
    <tableColumn id="2" xr3:uid="{617FF19F-FE8F-4AA9-AD3C-966C0EDA12FA}" name="Security comment" dataDxfId="84"/>
    <tableColumn id="3" xr3:uid="{C79B068F-89BC-4CCF-B553-50AE428EAD62}" name="Owner Comment" dataDxfId="83"/>
    <tableColumn id="4" xr3:uid="{A5911E3F-0E2D-4888-80EA-8F2C249B9177}" name="Security Reviews" dataDxfId="82"/>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AACABA7-B3C1-4B7A-AD54-2085AAC3B8D4}" name="Table20" displayName="Table20" ref="A1:L26" totalsRowShown="0" headerRowDxfId="81" dataDxfId="80" tableBorderDxfId="79">
  <autoFilter ref="A1:L26" xr:uid="{2AACABA7-B3C1-4B7A-AD54-2085AAC3B8D4}"/>
  <tableColumns count="12">
    <tableColumn id="1" xr3:uid="{CCE6607C-1621-4BBF-A7D0-AED4F76212FD}" name="Host" dataDxfId="78"/>
    <tableColumn id="2" xr3:uid="{EE7C0A9F-DAC3-4DB1-8D86-E78C1B5F22B8}" name="Username" dataDxfId="77"/>
    <tableColumn id="3" xr3:uid="{FD8EBB15-A2FA-4392-AF3C-24E1007BDF63}" name="User ID" dataDxfId="76"/>
    <tableColumn id="4" xr3:uid="{19A526F3-8955-4DFA-9A06-4F60F50C385C}" name="Group ID" dataDxfId="75"/>
    <tableColumn id="5" xr3:uid="{23755406-3BEF-4E4E-BF3D-6BA0AFA348B3}" name="Realname" dataDxfId="74"/>
    <tableColumn id="6" xr3:uid="{41FAFB70-9B40-4C41-876E-EF842D637A3F}" name="Shell path" dataDxfId="73"/>
    <tableColumn id="7" xr3:uid="{3639AE9E-DC5B-4DBF-BDBD-209607E18285}" name="Home Directory" dataDxfId="72"/>
    <tableColumn id="8" xr3:uid="{C3976845-5056-44F9-9393-03DAC091A4B8}" name="Whitelist 1" dataDxfId="71" dataCellStyle="Accent6"/>
    <tableColumn id="9" xr3:uid="{D7DEEC7C-AAE1-4CF9-9FBB-3D8A5A0D5414}" name="Whitelist 2" dataDxfId="70"/>
    <tableColumn id="10" xr3:uid="{0E84F716-2D35-4372-B0EE-51A840553168}" name="Security Comment" dataDxfId="69"/>
    <tableColumn id="11" xr3:uid="{9643F4EF-809A-44EE-B2C4-C52B469A4560}" name="Owner Comment" dataDxfId="68"/>
    <tableColumn id="12" xr3:uid="{E3C1DC05-6F73-4D1C-B0AB-ECC5640A81A2}" name="Security Reviews" dataDxfId="6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418673D-89FA-47AE-AAC9-2FF26D0DFA93}" name="Table19" displayName="Table19" ref="A1:G7" totalsRowShown="0" headerRowDxfId="66" dataDxfId="64" headerRowBorderDxfId="65" tableBorderDxfId="63" totalsRowBorderDxfId="62">
  <autoFilter ref="A1:G7" xr:uid="{5418673D-89FA-47AE-AAC9-2FF26D0DFA93}"/>
  <tableColumns count="7">
    <tableColumn id="1" xr3:uid="{7B9684AE-5428-432D-AC24-E4AD53814822}" name="Host" dataDxfId="61"/>
    <tableColumn id="2" xr3:uid="{C56C4F97-9B2F-426E-A9E2-DA94CD1FF64D}" name="Destination" dataDxfId="60"/>
    <tableColumn id="3" xr3:uid="{5EBBE9E4-3749-4674-8301-C56291A8BDF1}" name="Gateway" dataDxfId="59"/>
    <tableColumn id="4" xr3:uid="{2F786222-EBF7-46DF-834A-F7587EF9FA39}" name="Interface" dataDxfId="58"/>
    <tableColumn id="5" xr3:uid="{E6664AB5-B035-4C06-B30E-58BC9101485C}" name="Security Comment" dataDxfId="57"/>
    <tableColumn id="6" xr3:uid="{06318044-AA6B-4343-B42E-7444EB22500E}" name="Owner Comment" dataDxfId="56"/>
    <tableColumn id="7" xr3:uid="{3155EBD6-0A27-4CCB-9E13-99047DD08150}" name="Security Reviews" dataDxfId="5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B312DCB-7459-402A-B2C3-85A8ADBC1991}" name="Table18" displayName="Table18" ref="A1:G10" totalsRowShown="0" headerRowDxfId="54" headerRowBorderDxfId="53" tableBorderDxfId="52" totalsRowBorderDxfId="51">
  <autoFilter ref="A1:G10" xr:uid="{AB312DCB-7459-402A-B2C3-85A8ADBC1991}"/>
  <tableColumns count="7">
    <tableColumn id="1" xr3:uid="{69D4307F-797B-4F39-A6C7-D3C7331B3199}" name="Host" dataDxfId="50"/>
    <tableColumn id="2" xr3:uid="{9FEE8386-7AD0-43C0-86F7-A99DCC61B57C}" name="Group Name" dataDxfId="49"/>
    <tableColumn id="3" xr3:uid="{3E7DEE33-611D-4239-A5FF-523A38996F4C}" name="GID" dataDxfId="48"/>
    <tableColumn id="4" xr3:uid="{5A458C39-5177-4A63-9C29-939A2B4D6631}" name="Group Member" dataDxfId="47"/>
    <tableColumn id="5" xr3:uid="{08FAFFDC-4E15-44F2-83AD-029360C45221}" name="Security Comment" dataDxfId="46"/>
    <tableColumn id="6" xr3:uid="{F2689587-9552-4D77-91CA-0FB055A1D76B}" name="Owner Comment" dataDxfId="45"/>
    <tableColumn id="7" xr3:uid="{681BC108-2328-44CD-A5F8-A2BF9A8DBD62}" name="Security Reviews" dataDxfId="4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397E66-1893-4063-B40B-7359BFB6A1BE}" name="Table17" displayName="Table17" ref="A1:E19" totalsRowShown="0" headerRowDxfId="43" dataDxfId="42" tableBorderDxfId="41">
  <autoFilter ref="A1:E19" xr:uid="{8A397E66-1893-4063-B40B-7359BFB6A1BE}"/>
  <tableColumns count="5">
    <tableColumn id="1" xr3:uid="{063397CD-D99B-4D1A-AE02-580D5B001AEF}" name="PID" dataDxfId="40"/>
    <tableColumn id="2" xr3:uid="{9B280A12-8B2F-42D4-B9F5-50D71802CB07}" name="Path" dataDxfId="39"/>
    <tableColumn id="3" xr3:uid="{6D98D704-4D5F-451A-9AEE-7BC64B15BEAF}" name="Security Comment" dataDxfId="38"/>
    <tableColumn id="4" xr3:uid="{9A0D8D47-2433-4088-B0D7-05FCDE0078CC}" name="Owner Comment" dataDxfId="37"/>
    <tableColumn id="5" xr3:uid="{8F31465D-796C-4E8B-8C6D-F07334219EB8}" name="Security Reviews" dataDxfId="3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E3C513E-4E1C-41B7-9B14-91B259A1370E}" name="Table15" displayName="Table15" ref="A1:E4" totalsRowShown="0" headerRowDxfId="35" headerRowBorderDxfId="34" tableBorderDxfId="33" totalsRowBorderDxfId="32">
  <autoFilter ref="A1:E4" xr:uid="{3E3C513E-4E1C-41B7-9B14-91B259A1370E}"/>
  <tableColumns count="5">
    <tableColumn id="1" xr3:uid="{5A9391C9-7BF4-4C06-8309-54F69A4C3E51}" name="Host" dataDxfId="31"/>
    <tableColumn id="2" xr3:uid="{D6C985F5-920A-4C3D-BF47-3345B5982584}" name="cronjob" dataDxfId="30"/>
    <tableColumn id="3" xr3:uid="{A3B613AF-CEC5-435E-9C36-1F37DAE8C619}" name="Security Comment" dataDxfId="29"/>
    <tableColumn id="4" xr3:uid="{9DA90081-50C7-4AD0-9EE7-B03940A43154}" name="Owner Comment" dataDxfId="28"/>
    <tableColumn id="5" xr3:uid="{47B80743-F702-4B76-84E5-3F962CFBE861}" name="Security Reviews" dataDxfId="2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48B5DCD-7285-4F09-9C7C-7EF6426B0005}" name="Table3" displayName="Table3" ref="A1:E17" totalsRowShown="0" headerRowDxfId="26" dataDxfId="24" headerRowBorderDxfId="25" tableBorderDxfId="23" totalsRowBorderDxfId="22">
  <autoFilter ref="A1:E17" xr:uid="{22F57569-CBAE-4FCE-93CC-D9499C46E981}"/>
  <tableColumns count="5">
    <tableColumn id="1" xr3:uid="{74A9FEFA-CD5C-40EB-B6B2-2A526706F393}" name="user" dataDxfId="21"/>
    <tableColumn id="2" xr3:uid="{4A38C505-98D2-44D4-86A1-B6B553D7378F}" name="Environment" dataDxfId="20"/>
    <tableColumn id="3" xr3:uid="{B6BA1D0E-9B73-4D68-B4E9-5F6D54046266}" name="Security Comment" dataDxfId="19"/>
    <tableColumn id="4" xr3:uid="{1284EC83-76BB-4E97-8090-97B2A50F1357}" name="Owner Comment" dataDxfId="18"/>
    <tableColumn id="5" xr3:uid="{8B0A74C2-3D79-45BE-B3CC-43FC577A5A9D}" name="Security Reviews" dataDxfId="17"/>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5D25D38-A6EE-4C7F-B8D8-5B70C2FA129C}" name="Table16" displayName="Table16" ref="A1:E19" totalsRowShown="0" headerRowDxfId="16" dataDxfId="15">
  <autoFilter ref="A1:E19" xr:uid="{25D25D38-A6EE-4C7F-B8D8-5B70C2FA129C}"/>
  <tableColumns count="5">
    <tableColumn id="1" xr3:uid="{0F3AC902-B202-4943-A679-C63863CC17BC}" name="Host" dataDxfId="14"/>
    <tableColumn id="2" xr3:uid="{25B9FF66-3096-49D1-A3FD-11CC64BF942E}" name="ssh known hosts" dataDxfId="13"/>
    <tableColumn id="3" xr3:uid="{1D7BC1A2-D52F-465E-AC0F-7F0C1E829435}" name="Security Comment" dataDxfId="12"/>
    <tableColumn id="4" xr3:uid="{3E9C2990-D9A9-448A-B792-9E9B03BA4746}" name="Owner Comment" dataDxfId="11"/>
    <tableColumn id="5" xr3:uid="{3E429184-E1AE-47A1-9246-43E97BFD442E}" name="Security Review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N32"/>
  <sheetViews>
    <sheetView tabSelected="1" view="pageBreakPreview" zoomScaleNormal="85" zoomScaleSheetLayoutView="100" workbookViewId="0">
      <selection activeCell="T9" sqref="T9"/>
    </sheetView>
  </sheetViews>
  <sheetFormatPr defaultColWidth="9.140625" defaultRowHeight="15"/>
  <cols>
    <col min="1" max="12" width="9.140625" style="4" customWidth="1"/>
    <col min="13" max="13" width="7.140625" style="4" customWidth="1"/>
    <col min="14" max="14" width="4.5703125" style="4" customWidth="1"/>
    <col min="15" max="15" width="9.140625" style="4" customWidth="1"/>
    <col min="16" max="16384" width="9.140625" style="4"/>
  </cols>
  <sheetData>
    <row r="4" spans="4:14">
      <c r="E4" s="162" t="s">
        <v>207</v>
      </c>
      <c r="F4" s="163"/>
      <c r="G4" s="163"/>
      <c r="H4" s="163"/>
      <c r="I4" s="163"/>
    </row>
    <row r="5" spans="4:14">
      <c r="E5" s="163"/>
      <c r="F5" s="163"/>
      <c r="G5" s="163"/>
      <c r="H5" s="163"/>
      <c r="I5" s="163"/>
      <c r="M5" s="5"/>
      <c r="N5" s="5"/>
    </row>
    <row r="6" spans="4:14">
      <c r="E6" s="163"/>
      <c r="F6" s="163"/>
      <c r="G6" s="163"/>
      <c r="H6" s="163"/>
      <c r="I6" s="163"/>
      <c r="M6" s="5"/>
      <c r="N6" s="5"/>
    </row>
    <row r="7" spans="4:14">
      <c r="E7" s="163"/>
      <c r="F7" s="163"/>
      <c r="G7" s="163"/>
      <c r="H7" s="163"/>
      <c r="I7" s="163"/>
      <c r="M7" s="5"/>
      <c r="N7" s="5"/>
    </row>
    <row r="8" spans="4:14">
      <c r="E8" s="163"/>
      <c r="F8" s="163"/>
      <c r="G8" s="163"/>
      <c r="H8" s="163"/>
      <c r="I8" s="163"/>
      <c r="M8" s="5"/>
      <c r="N8" s="5"/>
    </row>
    <row r="9" spans="4:14">
      <c r="M9" s="5"/>
      <c r="N9" s="5"/>
    </row>
    <row r="10" spans="4:14">
      <c r="M10" s="5"/>
      <c r="N10" s="5"/>
    </row>
    <row r="11" spans="4:14">
      <c r="M11" s="5"/>
      <c r="N11" s="5"/>
    </row>
    <row r="12" spans="4:14">
      <c r="M12" s="5"/>
      <c r="N12" s="5"/>
    </row>
    <row r="15" spans="4:14" ht="25.5" customHeight="1">
      <c r="D15" s="6"/>
    </row>
    <row r="16" spans="4:14" ht="25.5" customHeight="1">
      <c r="D16" s="6"/>
    </row>
    <row r="17" spans="4:14" ht="25.5" customHeight="1">
      <c r="D17" s="6"/>
      <c r="H17" s="164" t="s">
        <v>150</v>
      </c>
      <c r="I17" s="165"/>
      <c r="J17" s="165"/>
      <c r="K17" s="165"/>
      <c r="L17" s="165"/>
      <c r="M17" s="165"/>
      <c r="N17" s="7"/>
    </row>
    <row r="18" spans="4:14" ht="17.25" customHeight="1">
      <c r="D18" s="8"/>
      <c r="H18" s="165"/>
      <c r="I18" s="165"/>
      <c r="J18" s="165"/>
      <c r="K18" s="165"/>
      <c r="L18" s="165"/>
      <c r="M18" s="165"/>
      <c r="N18" s="7"/>
    </row>
    <row r="19" spans="4:14" ht="17.25" customHeight="1">
      <c r="D19" s="8"/>
      <c r="H19" s="165"/>
      <c r="I19" s="165"/>
      <c r="J19" s="165"/>
      <c r="K19" s="165"/>
      <c r="L19" s="165"/>
      <c r="M19" s="165"/>
      <c r="N19" s="7"/>
    </row>
    <row r="20" spans="4:14" ht="17.25" customHeight="1">
      <c r="D20" s="8"/>
      <c r="H20" s="165"/>
      <c r="I20" s="165"/>
      <c r="J20" s="165"/>
      <c r="K20" s="165"/>
      <c r="L20" s="165"/>
      <c r="M20" s="165"/>
      <c r="N20" s="7"/>
    </row>
    <row r="21" spans="4:14" ht="17.25" customHeight="1">
      <c r="D21" s="8"/>
      <c r="H21" s="165"/>
      <c r="I21" s="165"/>
      <c r="J21" s="165"/>
      <c r="K21" s="165"/>
      <c r="L21" s="165"/>
      <c r="M21" s="165"/>
      <c r="N21" s="7"/>
    </row>
    <row r="22" spans="4:14" ht="17.25" customHeight="1">
      <c r="D22" s="8"/>
      <c r="H22" s="165"/>
      <c r="I22" s="165"/>
      <c r="J22" s="165"/>
      <c r="K22" s="165"/>
      <c r="L22" s="165"/>
      <c r="M22" s="165"/>
      <c r="N22" s="7"/>
    </row>
    <row r="23" spans="4:14" ht="17.25" customHeight="1">
      <c r="D23" s="8"/>
      <c r="H23" s="165"/>
      <c r="I23" s="165"/>
      <c r="J23" s="165"/>
      <c r="K23" s="165"/>
      <c r="L23" s="165"/>
      <c r="M23" s="165"/>
      <c r="N23" s="7"/>
    </row>
    <row r="24" spans="4:14" ht="17.25" customHeight="1">
      <c r="D24" s="9"/>
      <c r="E24" s="10"/>
      <c r="H24" s="165"/>
      <c r="I24" s="165"/>
      <c r="J24" s="165"/>
      <c r="K24" s="165"/>
      <c r="L24" s="165"/>
      <c r="M24" s="165"/>
      <c r="N24" s="7"/>
    </row>
    <row r="25" spans="4:14" ht="17.25" customHeight="1">
      <c r="D25" s="9"/>
      <c r="H25" s="165"/>
      <c r="I25" s="165"/>
      <c r="J25" s="165"/>
      <c r="K25" s="165"/>
      <c r="L25" s="165"/>
      <c r="M25" s="165"/>
      <c r="N25" s="7"/>
    </row>
    <row r="26" spans="4:14" ht="17.25" customHeight="1">
      <c r="D26" s="9"/>
      <c r="H26" s="165"/>
      <c r="I26" s="165"/>
      <c r="J26" s="165"/>
      <c r="K26" s="165"/>
      <c r="L26" s="165"/>
      <c r="M26" s="165"/>
      <c r="N26" s="7"/>
    </row>
    <row r="28" spans="4:14" ht="18.75" customHeight="1">
      <c r="D28" s="11"/>
    </row>
    <row r="29" spans="4:14" ht="18.75" customHeight="1">
      <c r="D29" s="11"/>
    </row>
    <row r="30" spans="4:14" ht="18.75" customHeight="1">
      <c r="D30" s="12"/>
    </row>
    <row r="31" spans="4:14" ht="18.75" customHeight="1">
      <c r="D31" s="11"/>
    </row>
    <row r="32" spans="4:14">
      <c r="D32" s="13"/>
    </row>
  </sheetData>
  <mergeCells count="2">
    <mergeCell ref="E4:I8"/>
    <mergeCell ref="H17:M26"/>
  </mergeCells>
  <pageMargins left="0.7" right="0.7" top="0.75" bottom="0.75" header="0.3" footer="0.3"/>
  <pageSetup scale="92"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zoomScaleNormal="100" workbookViewId="0">
      <selection activeCell="A24" sqref="A24:XFD30"/>
    </sheetView>
  </sheetViews>
  <sheetFormatPr defaultRowHeight="15"/>
  <cols>
    <col min="1" max="1" width="12" bestFit="1" customWidth="1"/>
    <col min="2" max="2" width="23.7109375" bestFit="1" customWidth="1"/>
  </cols>
  <sheetData>
    <row r="1" spans="1:2">
      <c r="A1" s="16" t="s">
        <v>5</v>
      </c>
      <c r="B1" s="17" t="s">
        <v>6</v>
      </c>
    </row>
    <row r="2" spans="1:2">
      <c r="A2" s="18" t="s">
        <v>7</v>
      </c>
      <c r="B2" s="22" t="s">
        <v>116</v>
      </c>
    </row>
    <row r="3" spans="1:2">
      <c r="A3" s="18" t="s">
        <v>4</v>
      </c>
      <c r="B3" s="25" t="s">
        <v>8</v>
      </c>
    </row>
    <row r="4" spans="1:2">
      <c r="A4" s="18" t="s">
        <v>25</v>
      </c>
      <c r="B4" s="26"/>
    </row>
    <row r="5" spans="1:2" ht="15.75" thickBot="1">
      <c r="A5" s="27" t="s">
        <v>26</v>
      </c>
      <c r="B5" s="28"/>
    </row>
    <row r="7" spans="1:2" ht="15.75" thickBot="1"/>
    <row r="8" spans="1:2" ht="15.75" thickBot="1">
      <c r="A8" s="166" t="s">
        <v>384</v>
      </c>
      <c r="B8" s="167"/>
    </row>
    <row r="9" spans="1:2">
      <c r="A9" s="16" t="s">
        <v>5</v>
      </c>
      <c r="B9" s="17" t="s">
        <v>6</v>
      </c>
    </row>
    <row r="10" spans="1:2">
      <c r="A10" s="18" t="s">
        <v>7</v>
      </c>
      <c r="B10" s="22" t="s">
        <v>116</v>
      </c>
    </row>
    <row r="11" spans="1:2">
      <c r="A11" s="18" t="s">
        <v>4</v>
      </c>
      <c r="B11" s="25" t="s">
        <v>8</v>
      </c>
    </row>
    <row r="12" spans="1:2">
      <c r="A12" s="18" t="s">
        <v>25</v>
      </c>
      <c r="B12" s="26"/>
    </row>
    <row r="13" spans="1:2" ht="15.75" thickBot="1">
      <c r="A13" s="27" t="s">
        <v>26</v>
      </c>
      <c r="B13" s="28"/>
    </row>
    <row r="15" spans="1:2" ht="15.75" thickBot="1"/>
    <row r="16" spans="1:2" ht="15.75" thickBot="1">
      <c r="A16" s="166" t="s">
        <v>385</v>
      </c>
      <c r="B16" s="167"/>
    </row>
    <row r="17" spans="1:2">
      <c r="A17" s="16" t="s">
        <v>5</v>
      </c>
      <c r="B17" s="17" t="s">
        <v>6</v>
      </c>
    </row>
    <row r="18" spans="1:2">
      <c r="A18" s="18" t="s">
        <v>7</v>
      </c>
      <c r="B18" s="22" t="s">
        <v>116</v>
      </c>
    </row>
    <row r="19" spans="1:2">
      <c r="A19" s="18" t="s">
        <v>4</v>
      </c>
      <c r="B19" s="25" t="s">
        <v>8</v>
      </c>
    </row>
    <row r="20" spans="1:2">
      <c r="A20" s="18" t="s">
        <v>25</v>
      </c>
      <c r="B20" s="26"/>
    </row>
    <row r="21" spans="1:2" ht="15.75" thickBot="1">
      <c r="A21" s="27" t="s">
        <v>26</v>
      </c>
      <c r="B21" s="28"/>
    </row>
  </sheetData>
  <mergeCells count="2">
    <mergeCell ref="A8:B8"/>
    <mergeCell ref="A16:B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1AFA-F263-479D-98BF-72E5C7F618E6}">
  <dimension ref="A1:H2"/>
  <sheetViews>
    <sheetView zoomScale="70" zoomScaleNormal="70" workbookViewId="0">
      <pane ySplit="1" topLeftCell="A2" activePane="bottomLeft" state="frozen"/>
      <selection pane="bottomLeft" activeCell="D17" sqref="D17"/>
    </sheetView>
  </sheetViews>
  <sheetFormatPr defaultColWidth="8.85546875" defaultRowHeight="15"/>
  <cols>
    <col min="1" max="1" width="67.7109375" style="102" customWidth="1"/>
    <col min="2" max="2" width="39.7109375" style="102" bestFit="1" customWidth="1"/>
    <col min="3" max="3" width="39.85546875" style="102" customWidth="1"/>
    <col min="4" max="4" width="120" style="102" customWidth="1"/>
    <col min="5" max="5" width="59.28515625" style="102" customWidth="1"/>
    <col min="6" max="6" width="27" style="102" customWidth="1"/>
    <col min="7" max="7" width="86.7109375" style="103" customWidth="1"/>
    <col min="8" max="8" width="80.42578125" style="103" customWidth="1"/>
    <col min="9" max="16384" width="8.85546875" style="102"/>
  </cols>
  <sheetData>
    <row r="1" spans="1:8" s="89" customFormat="1" ht="37.5" customHeight="1">
      <c r="A1" s="104" t="s">
        <v>95</v>
      </c>
      <c r="B1" s="92" t="s">
        <v>9</v>
      </c>
      <c r="C1" s="92" t="s">
        <v>24</v>
      </c>
      <c r="D1" s="92" t="s">
        <v>11</v>
      </c>
      <c r="E1" s="92" t="s">
        <v>53</v>
      </c>
      <c r="F1" s="92" t="s">
        <v>17</v>
      </c>
      <c r="G1" s="92" t="s">
        <v>18</v>
      </c>
      <c r="H1" s="92" t="s">
        <v>19</v>
      </c>
    </row>
    <row r="2" spans="1:8" ht="117" customHeight="1">
      <c r="A2" s="89"/>
      <c r="C2" s="89"/>
      <c r="E2" s="89"/>
      <c r="F2" s="89"/>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9890-5157-4D14-8447-8D798319A492}">
  <dimension ref="A1:N61"/>
  <sheetViews>
    <sheetView topLeftCell="A34" zoomScale="70" zoomScaleNormal="70" workbookViewId="0">
      <selection activeCell="A47" sqref="A47:XFD47"/>
    </sheetView>
  </sheetViews>
  <sheetFormatPr defaultColWidth="9.140625" defaultRowHeight="15"/>
  <cols>
    <col min="1" max="1" width="20.85546875" style="14" customWidth="1"/>
    <col min="2" max="2" width="30.28515625" style="14" bestFit="1" customWidth="1"/>
    <col min="3" max="3" width="24.5703125" style="14" customWidth="1"/>
    <col min="4" max="4" width="29.5703125" style="14" bestFit="1" customWidth="1"/>
    <col min="5" max="5" width="24.42578125" style="14" customWidth="1"/>
    <col min="6" max="6" width="34.42578125" style="14" bestFit="1" customWidth="1"/>
    <col min="7" max="7" width="25.28515625" style="14" customWidth="1"/>
    <col min="8" max="8" width="18.42578125" style="14" customWidth="1"/>
    <col min="9" max="9" width="24.85546875" style="14" customWidth="1"/>
    <col min="10" max="10" width="25.85546875" style="14" customWidth="1"/>
    <col min="11" max="11" width="31.140625" style="14" bestFit="1" customWidth="1"/>
    <col min="12" max="12" width="77.28515625" style="14" customWidth="1"/>
    <col min="13" max="13" width="31.42578125" style="14" customWidth="1"/>
    <col min="14" max="14" width="31.5703125" style="14" customWidth="1"/>
    <col min="15" max="16384" width="9.140625" style="14"/>
  </cols>
  <sheetData>
    <row r="1" spans="1:14" ht="21" customHeight="1">
      <c r="A1" s="168" t="s">
        <v>383</v>
      </c>
      <c r="B1" s="168"/>
      <c r="C1" s="168"/>
      <c r="D1" s="168"/>
      <c r="E1" s="168"/>
      <c r="F1" s="168"/>
      <c r="G1" s="168"/>
      <c r="H1" s="168"/>
      <c r="I1" s="168"/>
      <c r="J1" s="168"/>
      <c r="K1" s="168"/>
      <c r="L1" s="168"/>
      <c r="M1" s="168"/>
      <c r="N1" s="168"/>
    </row>
    <row r="2" spans="1:14" ht="14.1" customHeight="1">
      <c r="A2" s="101" t="s">
        <v>382</v>
      </c>
      <c r="B2" s="101" t="s">
        <v>110</v>
      </c>
      <c r="C2" s="101" t="s">
        <v>108</v>
      </c>
      <c r="D2" s="101" t="s">
        <v>27</v>
      </c>
      <c r="E2" s="101" t="s">
        <v>381</v>
      </c>
      <c r="F2" s="101" t="s">
        <v>29</v>
      </c>
      <c r="G2" s="101" t="s">
        <v>109</v>
      </c>
      <c r="H2" s="101" t="s">
        <v>30</v>
      </c>
      <c r="I2" s="101" t="s">
        <v>380</v>
      </c>
      <c r="J2" s="101" t="s">
        <v>339</v>
      </c>
      <c r="K2" s="101" t="s">
        <v>379</v>
      </c>
      <c r="L2" s="101" t="s">
        <v>34</v>
      </c>
      <c r="M2" s="101" t="s">
        <v>111</v>
      </c>
      <c r="N2" s="101" t="s">
        <v>210</v>
      </c>
    </row>
    <row r="3" spans="1:14">
      <c r="A3" s="100"/>
      <c r="B3" s="21"/>
      <c r="C3" s="21"/>
      <c r="D3" s="21"/>
      <c r="E3" s="21"/>
      <c r="F3" s="21"/>
      <c r="G3" s="21"/>
      <c r="H3" s="21"/>
      <c r="I3" s="21"/>
      <c r="J3" s="21"/>
      <c r="K3" s="21"/>
      <c r="L3" s="21"/>
      <c r="M3" s="21"/>
      <c r="N3" s="21"/>
    </row>
    <row r="4" spans="1:14">
      <c r="A4" s="100"/>
      <c r="B4" s="21"/>
      <c r="C4" s="21"/>
      <c r="D4" s="21"/>
      <c r="E4" s="21"/>
      <c r="F4" s="21"/>
      <c r="G4" s="21"/>
      <c r="H4" s="21"/>
      <c r="I4" s="21"/>
      <c r="J4" s="21"/>
      <c r="K4" s="21"/>
      <c r="L4" s="21"/>
      <c r="M4" s="21"/>
      <c r="N4" s="21"/>
    </row>
    <row r="5" spans="1:14">
      <c r="A5" s="100"/>
      <c r="B5" s="21"/>
      <c r="C5" s="21"/>
      <c r="D5" s="21"/>
      <c r="E5" s="21"/>
      <c r="F5" s="21"/>
      <c r="G5" s="21"/>
      <c r="H5" s="21"/>
      <c r="I5" s="21"/>
      <c r="J5" s="21"/>
      <c r="K5" s="21"/>
      <c r="L5" s="21"/>
      <c r="M5" s="21"/>
      <c r="N5" s="21"/>
    </row>
    <row r="6" spans="1:14">
      <c r="A6" s="100"/>
      <c r="B6" s="21"/>
      <c r="C6" s="21"/>
      <c r="D6" s="21"/>
      <c r="E6" s="21"/>
      <c r="F6" s="21"/>
      <c r="G6" s="21"/>
      <c r="H6" s="21"/>
      <c r="I6" s="21"/>
      <c r="J6" s="21"/>
      <c r="K6" s="21"/>
      <c r="L6" s="21"/>
      <c r="M6" s="21"/>
      <c r="N6" s="21"/>
    </row>
    <row r="7" spans="1:14">
      <c r="A7" s="100"/>
      <c r="B7" s="21"/>
      <c r="C7" s="21"/>
      <c r="D7" s="21"/>
      <c r="E7" s="21"/>
      <c r="F7" s="21"/>
      <c r="G7" s="21"/>
      <c r="H7" s="21"/>
      <c r="I7" s="21"/>
      <c r="J7" s="21"/>
      <c r="K7" s="21"/>
      <c r="L7" s="21"/>
      <c r="M7" s="21"/>
      <c r="N7" s="21"/>
    </row>
    <row r="8" spans="1:14">
      <c r="A8" s="100"/>
      <c r="B8" s="21"/>
      <c r="C8" s="21"/>
      <c r="D8" s="21"/>
      <c r="E8" s="21"/>
      <c r="F8" s="21"/>
      <c r="G8" s="21"/>
      <c r="H8" s="21"/>
      <c r="I8" s="21"/>
      <c r="J8" s="21"/>
      <c r="K8" s="21"/>
      <c r="L8" s="21"/>
      <c r="M8" s="21"/>
      <c r="N8" s="21"/>
    </row>
    <row r="9" spans="1:14">
      <c r="A9" s="100"/>
      <c r="B9" s="21"/>
      <c r="C9" s="21"/>
      <c r="D9" s="21"/>
      <c r="E9" s="21"/>
      <c r="F9" s="21"/>
      <c r="G9" s="21"/>
      <c r="H9" s="21"/>
      <c r="I9" s="21"/>
      <c r="J9" s="21"/>
      <c r="K9" s="21"/>
      <c r="L9" s="21"/>
      <c r="M9" s="21"/>
      <c r="N9" s="21"/>
    </row>
    <row r="13" spans="1:14">
      <c r="A13" s="169" t="s">
        <v>378</v>
      </c>
      <c r="B13" s="170"/>
      <c r="C13" s="170"/>
      <c r="D13" s="170"/>
      <c r="E13" s="170"/>
      <c r="F13" s="170"/>
      <c r="G13" s="170"/>
      <c r="H13" s="170"/>
      <c r="I13" s="170"/>
      <c r="J13" s="170"/>
      <c r="K13" s="170"/>
      <c r="L13" s="170"/>
      <c r="M13" s="170"/>
      <c r="N13" s="170"/>
    </row>
    <row r="14" spans="1:14">
      <c r="A14" s="14" t="s">
        <v>29</v>
      </c>
      <c r="B14" s="14" t="s">
        <v>377</v>
      </c>
      <c r="C14" s="14" t="s">
        <v>376</v>
      </c>
      <c r="D14" s="14" t="s">
        <v>27</v>
      </c>
      <c r="E14" s="14" t="s">
        <v>28</v>
      </c>
      <c r="F14" s="14" t="s">
        <v>30</v>
      </c>
      <c r="G14" s="14" t="s">
        <v>31</v>
      </c>
      <c r="H14" s="14" t="s">
        <v>339</v>
      </c>
      <c r="I14" s="14" t="s">
        <v>375</v>
      </c>
      <c r="J14" s="14" t="s">
        <v>374</v>
      </c>
      <c r="K14" s="14" t="s">
        <v>373</v>
      </c>
      <c r="L14" s="14" t="s">
        <v>34</v>
      </c>
      <c r="M14" s="14" t="s">
        <v>111</v>
      </c>
      <c r="N14" s="14" t="s">
        <v>210</v>
      </c>
    </row>
    <row r="15" spans="1:14" ht="45">
      <c r="A15" s="14" t="s">
        <v>372</v>
      </c>
      <c r="B15" s="14">
        <v>0</v>
      </c>
      <c r="C15" s="14">
        <v>0</v>
      </c>
      <c r="D15" s="14" t="s">
        <v>365</v>
      </c>
      <c r="E15" s="14">
        <v>179</v>
      </c>
      <c r="F15" s="14" t="s">
        <v>365</v>
      </c>
      <c r="G15" s="14" t="s">
        <v>361</v>
      </c>
      <c r="H15" s="14" t="s">
        <v>368</v>
      </c>
      <c r="I15" s="14" t="s">
        <v>359</v>
      </c>
      <c r="J15" s="14">
        <v>28685</v>
      </c>
      <c r="K15" s="14" t="s">
        <v>218</v>
      </c>
      <c r="L15" s="14" t="s">
        <v>371</v>
      </c>
    </row>
    <row r="16" spans="1:14">
      <c r="A16" s="14" t="s">
        <v>369</v>
      </c>
      <c r="B16" s="14">
        <v>0</v>
      </c>
      <c r="C16" s="14">
        <v>0</v>
      </c>
      <c r="D16" s="14" t="s">
        <v>362</v>
      </c>
      <c r="E16" s="14">
        <v>17</v>
      </c>
      <c r="F16" s="14" t="s">
        <v>362</v>
      </c>
      <c r="G16" s="14" t="s">
        <v>361</v>
      </c>
      <c r="H16" s="14" t="s">
        <v>368</v>
      </c>
      <c r="I16" s="14" t="s">
        <v>359</v>
      </c>
      <c r="J16" s="14">
        <v>29139</v>
      </c>
      <c r="K16" s="14" t="s">
        <v>218</v>
      </c>
      <c r="L16" s="14" t="s">
        <v>370</v>
      </c>
    </row>
    <row r="17" spans="1:12">
      <c r="A17" s="14" t="s">
        <v>366</v>
      </c>
      <c r="B17" s="14">
        <v>0</v>
      </c>
      <c r="C17" s="14">
        <v>0</v>
      </c>
      <c r="D17" s="14" t="s">
        <v>365</v>
      </c>
      <c r="E17" s="14">
        <v>3503</v>
      </c>
      <c r="F17" s="14" t="s">
        <v>365</v>
      </c>
      <c r="G17" s="14" t="s">
        <v>361</v>
      </c>
      <c r="H17" s="14" t="s">
        <v>360</v>
      </c>
      <c r="I17" s="14" t="s">
        <v>359</v>
      </c>
      <c r="J17" s="14">
        <v>21132</v>
      </c>
      <c r="K17" s="14" t="s">
        <v>218</v>
      </c>
      <c r="L17" s="14" t="s">
        <v>367</v>
      </c>
    </row>
    <row r="18" spans="1:12">
      <c r="A18" s="14" t="s">
        <v>366</v>
      </c>
      <c r="B18" s="14">
        <v>0</v>
      </c>
      <c r="C18" s="14">
        <v>0</v>
      </c>
      <c r="D18" s="14" t="s">
        <v>365</v>
      </c>
      <c r="E18" s="14">
        <v>3785</v>
      </c>
      <c r="F18" s="14" t="s">
        <v>365</v>
      </c>
      <c r="G18" s="14" t="s">
        <v>361</v>
      </c>
      <c r="H18" s="14" t="s">
        <v>360</v>
      </c>
      <c r="I18" s="14" t="s">
        <v>359</v>
      </c>
      <c r="J18" s="14">
        <v>21129</v>
      </c>
      <c r="K18" s="14" t="s">
        <v>358</v>
      </c>
      <c r="L18" s="14" t="s">
        <v>364</v>
      </c>
    </row>
    <row r="19" spans="1:12">
      <c r="A19" s="14" t="s">
        <v>363</v>
      </c>
      <c r="B19" s="14">
        <v>0</v>
      </c>
      <c r="C19" s="14">
        <v>0</v>
      </c>
      <c r="D19" s="14" t="s">
        <v>362</v>
      </c>
      <c r="E19" s="14">
        <v>3785</v>
      </c>
      <c r="F19" s="14" t="s">
        <v>362</v>
      </c>
      <c r="G19" s="14" t="s">
        <v>361</v>
      </c>
      <c r="H19" s="14" t="s">
        <v>360</v>
      </c>
      <c r="I19" s="14" t="s">
        <v>359</v>
      </c>
      <c r="J19" s="14">
        <v>21131</v>
      </c>
      <c r="K19" s="14" t="s">
        <v>358</v>
      </c>
      <c r="L19" s="14" t="s">
        <v>357</v>
      </c>
    </row>
    <row r="36" spans="1:14">
      <c r="A36" s="171" t="s">
        <v>356</v>
      </c>
      <c r="B36" s="170"/>
      <c r="C36" s="170"/>
      <c r="D36" s="170"/>
      <c r="E36" s="170"/>
      <c r="F36" s="170"/>
    </row>
    <row r="37" spans="1:14">
      <c r="A37" s="14" t="s">
        <v>355</v>
      </c>
      <c r="B37" s="14" t="s">
        <v>354</v>
      </c>
      <c r="C37" s="14" t="s">
        <v>353</v>
      </c>
      <c r="D37" s="14" t="s">
        <v>34</v>
      </c>
      <c r="E37" s="14" t="s">
        <v>111</v>
      </c>
      <c r="F37" s="14" t="s">
        <v>210</v>
      </c>
    </row>
    <row r="45" spans="1:14" ht="21">
      <c r="A45" s="171" t="s">
        <v>352</v>
      </c>
      <c r="B45" s="171"/>
      <c r="C45" s="171"/>
      <c r="D45" s="171"/>
      <c r="E45" s="171"/>
      <c r="F45" s="171"/>
      <c r="G45" s="171"/>
      <c r="H45" s="171"/>
      <c r="I45" s="171"/>
      <c r="J45" s="171"/>
      <c r="K45" s="171"/>
      <c r="L45" s="171"/>
      <c r="M45" s="171"/>
      <c r="N45" s="171"/>
    </row>
    <row r="46" spans="1:14">
      <c r="A46" s="14" t="s">
        <v>351</v>
      </c>
      <c r="B46" s="14" t="s">
        <v>350</v>
      </c>
      <c r="C46" s="14" t="s">
        <v>349</v>
      </c>
      <c r="D46" s="14" t="s">
        <v>348</v>
      </c>
      <c r="E46" s="14" t="s">
        <v>29</v>
      </c>
      <c r="F46" s="14" t="s">
        <v>347</v>
      </c>
      <c r="G46" s="14" t="s">
        <v>346</v>
      </c>
      <c r="H46" s="14" t="s">
        <v>345</v>
      </c>
      <c r="I46" s="14" t="s">
        <v>344</v>
      </c>
      <c r="J46" s="14" t="s">
        <v>52</v>
      </c>
      <c r="K46" s="14" t="s">
        <v>343</v>
      </c>
      <c r="L46" s="14" t="s">
        <v>34</v>
      </c>
      <c r="M46" s="14" t="s">
        <v>111</v>
      </c>
      <c r="N46" s="14" t="s">
        <v>210</v>
      </c>
    </row>
    <row r="54" spans="1:8">
      <c r="A54" s="172" t="s">
        <v>342</v>
      </c>
      <c r="B54" s="170"/>
      <c r="C54" s="170"/>
      <c r="D54" s="170"/>
      <c r="E54" s="170"/>
      <c r="F54" s="170"/>
      <c r="G54" s="170"/>
      <c r="H54" s="170"/>
    </row>
    <row r="55" spans="1:8">
      <c r="A55" s="99" t="s">
        <v>50</v>
      </c>
      <c r="B55" s="99" t="s">
        <v>108</v>
      </c>
      <c r="C55" s="99" t="s">
        <v>341</v>
      </c>
      <c r="D55" s="99" t="s">
        <v>340</v>
      </c>
      <c r="E55" s="99" t="s">
        <v>339</v>
      </c>
      <c r="F55" s="99" t="s">
        <v>34</v>
      </c>
      <c r="G55" s="99" t="s">
        <v>111</v>
      </c>
      <c r="H55" s="99" t="s">
        <v>210</v>
      </c>
    </row>
    <row r="56" spans="1:8" ht="15" customHeight="1">
      <c r="A56" s="29"/>
      <c r="B56" s="29"/>
      <c r="C56" s="29"/>
      <c r="D56" s="29"/>
      <c r="E56" s="29"/>
      <c r="F56" s="69"/>
      <c r="G56" s="29"/>
      <c r="H56" s="29"/>
    </row>
    <row r="57" spans="1:8">
      <c r="A57" s="29"/>
      <c r="B57" s="29"/>
      <c r="C57" s="29"/>
      <c r="D57" s="29"/>
      <c r="E57" s="29"/>
      <c r="F57" s="69"/>
      <c r="G57" s="29"/>
      <c r="H57" s="29"/>
    </row>
    <row r="58" spans="1:8">
      <c r="A58" s="29"/>
      <c r="B58" s="29"/>
      <c r="D58" s="29"/>
      <c r="E58" s="29"/>
      <c r="F58" s="69"/>
      <c r="G58" s="29"/>
      <c r="H58" s="29"/>
    </row>
    <row r="59" spans="1:8">
      <c r="A59" s="29"/>
      <c r="B59" s="29"/>
      <c r="C59" s="29"/>
      <c r="D59" s="29"/>
      <c r="E59" s="29"/>
      <c r="F59" s="69"/>
      <c r="G59" s="29"/>
      <c r="H59" s="29"/>
    </row>
    <row r="61" spans="1:8">
      <c r="C61" s="29"/>
    </row>
  </sheetData>
  <mergeCells count="5">
    <mergeCell ref="A1:N1"/>
    <mergeCell ref="A13:N13"/>
    <mergeCell ref="A36:F36"/>
    <mergeCell ref="A45:N45"/>
    <mergeCell ref="A54:H54"/>
  </mergeCells>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02D2-54C9-4C10-B832-BD7564B4DA7A}">
  <dimension ref="A1:M21"/>
  <sheetViews>
    <sheetView workbookViewId="0">
      <selection activeCell="A7" sqref="A7:B9"/>
    </sheetView>
  </sheetViews>
  <sheetFormatPr defaultRowHeight="15"/>
  <cols>
    <col min="1" max="2" width="29" customWidth="1"/>
    <col min="3" max="3" width="17.85546875" customWidth="1"/>
  </cols>
  <sheetData>
    <row r="1" spans="1:3" ht="30" customHeight="1" thickTop="1" thickBot="1">
      <c r="A1" s="173" t="s">
        <v>10</v>
      </c>
      <c r="B1" s="174"/>
      <c r="C1" s="1"/>
    </row>
    <row r="2" spans="1:3" ht="16.5" thickTop="1" thickBot="1">
      <c r="A2" s="72" t="s">
        <v>3</v>
      </c>
      <c r="B2" s="71">
        <f>COUNTIF(Vulnerabilities!C$1:C$1048431,"=Critical")</f>
        <v>1</v>
      </c>
      <c r="C2" s="1"/>
    </row>
    <row r="3" spans="1:3" ht="16.5" thickTop="1" thickBot="1">
      <c r="A3" s="73" t="s">
        <v>1</v>
      </c>
      <c r="B3" s="71">
        <f>COUNTIF(Vulnerabilities!C$1:C$1048431,"=High")</f>
        <v>3</v>
      </c>
      <c r="C3" s="1"/>
    </row>
    <row r="4" spans="1:3" ht="16.5" thickTop="1" thickBot="1">
      <c r="A4" s="74" t="s">
        <v>0</v>
      </c>
      <c r="B4" s="71">
        <f>COUNTIF(Vulnerabilities!C$1:C$1048431,"=Medium")</f>
        <v>4</v>
      </c>
      <c r="C4" s="1"/>
    </row>
    <row r="5" spans="1:3" ht="16.5" thickTop="1" thickBot="1">
      <c r="A5" s="75" t="s">
        <v>2</v>
      </c>
      <c r="B5" s="71">
        <f>COUNTIF(Vulnerabilities!C$1:C$1048431,"=Low")</f>
        <v>1</v>
      </c>
      <c r="C5" s="1"/>
    </row>
    <row r="6" spans="1:3" ht="16.5" thickTop="1" thickBot="1">
      <c r="A6" s="70" t="s">
        <v>16</v>
      </c>
      <c r="B6" s="72" t="s">
        <v>3</v>
      </c>
      <c r="C6" s="1"/>
    </row>
    <row r="7" spans="1:3" ht="21.75" customHeight="1" thickTop="1">
      <c r="A7" s="175"/>
      <c r="B7" s="176"/>
      <c r="C7" s="3"/>
    </row>
    <row r="8" spans="1:3" ht="21.75" customHeight="1">
      <c r="A8" s="177"/>
      <c r="B8" s="178"/>
      <c r="C8" s="3"/>
    </row>
    <row r="9" spans="1:3" ht="21.75" customHeight="1" thickBot="1">
      <c r="A9" s="179"/>
      <c r="B9" s="180"/>
      <c r="C9" s="3"/>
    </row>
    <row r="10" spans="1:3" ht="16.5" thickTop="1" thickBot="1">
      <c r="C10" s="3"/>
    </row>
    <row r="11" spans="1:3" ht="16.5" thickTop="1" thickBot="1">
      <c r="A11" s="70" t="s">
        <v>20</v>
      </c>
      <c r="B11" s="70"/>
      <c r="C11" s="3"/>
    </row>
    <row r="12" spans="1:3" ht="16.5" thickTop="1" thickBot="1">
      <c r="A12" s="73" t="s">
        <v>21</v>
      </c>
      <c r="B12" s="70">
        <f>Compliance!C9</f>
        <v>1</v>
      </c>
      <c r="C12" s="3"/>
    </row>
    <row r="13" spans="1:3" ht="16.5" thickTop="1" thickBot="1">
      <c r="A13" s="76" t="s">
        <v>22</v>
      </c>
      <c r="B13" s="70">
        <f>Compliance!B9</f>
        <v>1</v>
      </c>
      <c r="C13" s="3"/>
    </row>
    <row r="14" spans="1:3" ht="16.5" thickTop="1" thickBot="1">
      <c r="A14" s="77" t="s">
        <v>112</v>
      </c>
      <c r="B14" s="70">
        <f>Compliance!D9</f>
        <v>1</v>
      </c>
      <c r="C14" s="3"/>
    </row>
    <row r="15" spans="1:3" ht="16.5" thickTop="1" thickBot="1">
      <c r="A15" s="78" t="s">
        <v>218</v>
      </c>
      <c r="B15" s="70">
        <f>Compliance!E9</f>
        <v>1</v>
      </c>
      <c r="C15" s="3"/>
    </row>
    <row r="16" spans="1:3" ht="16.5" thickTop="1" thickBot="1">
      <c r="A16" s="79" t="s">
        <v>219</v>
      </c>
      <c r="B16" s="70">
        <f>Compliance!F9</f>
        <v>1</v>
      </c>
      <c r="C16" s="3"/>
    </row>
    <row r="17" spans="1:13" ht="16.5" thickTop="1" thickBot="1">
      <c r="A17" s="80" t="s">
        <v>220</v>
      </c>
      <c r="B17" s="70">
        <f>Compliance!G9</f>
        <v>1</v>
      </c>
    </row>
    <row r="18" spans="1:13" ht="15.75" thickTop="1"/>
    <row r="21" spans="1:13">
      <c r="M21" s="81"/>
    </row>
  </sheetData>
  <mergeCells count="2">
    <mergeCell ref="A1:B1"/>
    <mergeCell ref="A7:B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
  <sheetViews>
    <sheetView zoomScaleNormal="100" workbookViewId="0">
      <selection activeCell="B2" sqref="B2"/>
    </sheetView>
  </sheetViews>
  <sheetFormatPr defaultColWidth="8.85546875" defaultRowHeight="15"/>
  <cols>
    <col min="1" max="1" width="11" style="23" customWidth="1"/>
    <col min="2" max="2" width="56.28515625" style="2" bestFit="1" customWidth="1"/>
    <col min="3" max="3" width="12.28515625" style="14" bestFit="1" customWidth="1"/>
    <col min="4" max="4" width="82.140625" style="2" bestFit="1" customWidth="1"/>
    <col min="5" max="5" width="163.85546875" style="2" bestFit="1" customWidth="1"/>
    <col min="6" max="6" width="76.5703125" style="2" bestFit="1" customWidth="1"/>
    <col min="7" max="7" width="11.42578125" style="23" bestFit="1" customWidth="1"/>
    <col min="8" max="8" width="45.85546875" style="23" bestFit="1" customWidth="1"/>
    <col min="9" max="9" width="12.85546875" style="23" bestFit="1" customWidth="1"/>
    <col min="10" max="10" width="13.28515625" style="23" bestFit="1" customWidth="1"/>
    <col min="11" max="11" width="59.28515625" style="23" bestFit="1" customWidth="1"/>
    <col min="12" max="12" width="24.140625" style="23" bestFit="1" customWidth="1"/>
    <col min="13" max="13" width="54.85546875" style="23" bestFit="1" customWidth="1"/>
    <col min="14" max="14" width="17.5703125" style="23" bestFit="1" customWidth="1"/>
    <col min="15" max="15" width="16.7109375" style="23" customWidth="1"/>
    <col min="16" max="16" width="18.42578125" style="23" bestFit="1" customWidth="1"/>
    <col min="17" max="17" width="17.28515625" style="23" bestFit="1" customWidth="1"/>
    <col min="18" max="18" width="16.140625" style="23" bestFit="1" customWidth="1"/>
    <col min="19" max="22" width="39" style="1" customWidth="1"/>
    <col min="23" max="16384" width="8.85546875" style="1"/>
  </cols>
  <sheetData>
    <row r="1" spans="1:22">
      <c r="A1" s="157" t="s">
        <v>151</v>
      </c>
      <c r="B1" s="158" t="s">
        <v>12</v>
      </c>
      <c r="C1" s="159" t="s">
        <v>152</v>
      </c>
      <c r="D1" s="158" t="s">
        <v>13</v>
      </c>
      <c r="E1" s="158" t="s">
        <v>14</v>
      </c>
      <c r="F1" s="158" t="s">
        <v>15</v>
      </c>
      <c r="G1" s="158" t="s">
        <v>153</v>
      </c>
      <c r="H1" s="158" t="s">
        <v>154</v>
      </c>
      <c r="I1" s="158" t="s">
        <v>155</v>
      </c>
      <c r="J1" s="158" t="s">
        <v>156</v>
      </c>
      <c r="K1" s="158" t="s">
        <v>55</v>
      </c>
      <c r="L1" s="158" t="s">
        <v>157</v>
      </c>
      <c r="M1" s="158" t="s">
        <v>158</v>
      </c>
      <c r="N1" s="158" t="s">
        <v>208</v>
      </c>
      <c r="O1" s="158" t="s">
        <v>209</v>
      </c>
      <c r="P1" s="158" t="s">
        <v>98</v>
      </c>
      <c r="Q1" s="158" t="s">
        <v>111</v>
      </c>
      <c r="R1" s="158" t="s">
        <v>210</v>
      </c>
      <c r="S1" s="160" t="s">
        <v>384</v>
      </c>
      <c r="T1" s="159" t="s">
        <v>338</v>
      </c>
      <c r="U1" s="160" t="s">
        <v>385</v>
      </c>
      <c r="V1" s="161" t="s">
        <v>337</v>
      </c>
    </row>
    <row r="2" spans="1:22" ht="120">
      <c r="A2" s="21">
        <v>1</v>
      </c>
      <c r="B2" s="19" t="s">
        <v>160</v>
      </c>
      <c r="C2" s="105" t="s">
        <v>3</v>
      </c>
      <c r="D2" s="19" t="s">
        <v>161</v>
      </c>
      <c r="E2" s="19" t="s">
        <v>162</v>
      </c>
      <c r="F2" s="19" t="s">
        <v>163</v>
      </c>
      <c r="G2" s="19"/>
      <c r="H2" s="19" t="s">
        <v>164</v>
      </c>
      <c r="I2" s="19" t="s">
        <v>165</v>
      </c>
      <c r="J2" s="19"/>
      <c r="K2" s="19" t="s">
        <v>166</v>
      </c>
      <c r="L2" s="19"/>
      <c r="M2" s="19"/>
      <c r="N2" s="24"/>
      <c r="O2" s="24"/>
      <c r="P2" s="24"/>
      <c r="Q2" s="24"/>
      <c r="R2" s="24"/>
      <c r="S2" s="15"/>
      <c r="T2" s="15"/>
      <c r="U2" s="15"/>
      <c r="V2" s="15"/>
    </row>
    <row r="3" spans="1:22" ht="45">
      <c r="A3" s="21">
        <v>2</v>
      </c>
      <c r="B3" s="19" t="s">
        <v>167</v>
      </c>
      <c r="C3" s="106" t="s">
        <v>1</v>
      </c>
      <c r="D3" s="19" t="s">
        <v>168</v>
      </c>
      <c r="E3" s="19" t="s">
        <v>169</v>
      </c>
      <c r="F3" s="19" t="s">
        <v>170</v>
      </c>
      <c r="G3" s="19"/>
      <c r="H3" s="19" t="s">
        <v>171</v>
      </c>
      <c r="I3" s="19" t="s">
        <v>172</v>
      </c>
      <c r="J3" s="19"/>
      <c r="K3" s="19" t="s">
        <v>159</v>
      </c>
      <c r="L3" s="19"/>
      <c r="M3" s="19"/>
      <c r="N3" s="24"/>
      <c r="O3" s="24"/>
      <c r="P3" s="24"/>
      <c r="Q3" s="24"/>
      <c r="R3" s="24"/>
      <c r="S3" s="15"/>
      <c r="T3" s="15"/>
      <c r="U3" s="15"/>
      <c r="V3" s="15"/>
    </row>
    <row r="4" spans="1:22" ht="60">
      <c r="A4" s="21">
        <v>3</v>
      </c>
      <c r="B4" s="19" t="s">
        <v>173</v>
      </c>
      <c r="C4" s="106" t="s">
        <v>1</v>
      </c>
      <c r="D4" s="19" t="s">
        <v>174</v>
      </c>
      <c r="E4" s="19" t="s">
        <v>175</v>
      </c>
      <c r="F4" s="19" t="s">
        <v>170</v>
      </c>
      <c r="G4" s="19"/>
      <c r="H4" s="19" t="s">
        <v>171</v>
      </c>
      <c r="I4" s="19" t="s">
        <v>176</v>
      </c>
      <c r="J4" s="19"/>
      <c r="K4" s="19" t="s">
        <v>159</v>
      </c>
      <c r="L4" s="19"/>
      <c r="M4" s="19"/>
      <c r="N4" s="24"/>
      <c r="O4" s="24"/>
      <c r="P4" s="24"/>
      <c r="Q4" s="24"/>
      <c r="R4" s="24"/>
      <c r="S4" s="15"/>
      <c r="T4" s="15"/>
      <c r="U4" s="15"/>
      <c r="V4" s="15"/>
    </row>
    <row r="5" spans="1:22" ht="60">
      <c r="A5" s="21">
        <v>4</v>
      </c>
      <c r="B5" s="19" t="s">
        <v>177</v>
      </c>
      <c r="C5" s="106" t="s">
        <v>1</v>
      </c>
      <c r="D5" s="19" t="s">
        <v>178</v>
      </c>
      <c r="E5" s="19" t="s">
        <v>179</v>
      </c>
      <c r="F5" s="19" t="s">
        <v>180</v>
      </c>
      <c r="G5" s="19"/>
      <c r="H5" s="19" t="s">
        <v>181</v>
      </c>
      <c r="I5" s="19" t="s">
        <v>182</v>
      </c>
      <c r="J5" s="19"/>
      <c r="K5" s="19" t="s">
        <v>183</v>
      </c>
      <c r="L5" s="19"/>
      <c r="M5" s="19"/>
      <c r="N5" s="24"/>
      <c r="O5" s="24"/>
      <c r="P5" s="24"/>
      <c r="Q5" s="24"/>
      <c r="R5" s="24"/>
      <c r="S5" s="15"/>
      <c r="T5" s="15"/>
      <c r="U5" s="15"/>
      <c r="V5" s="15"/>
    </row>
    <row r="6" spans="1:22" ht="60">
      <c r="A6" s="21">
        <v>5</v>
      </c>
      <c r="B6" s="19" t="s">
        <v>184</v>
      </c>
      <c r="C6" s="107" t="s">
        <v>0</v>
      </c>
      <c r="D6" s="19" t="s">
        <v>185</v>
      </c>
      <c r="E6" s="19" t="s">
        <v>186</v>
      </c>
      <c r="F6" s="19" t="s">
        <v>187</v>
      </c>
      <c r="G6" s="19"/>
      <c r="H6" s="19" t="s">
        <v>181</v>
      </c>
      <c r="I6" s="19" t="s">
        <v>188</v>
      </c>
      <c r="J6" s="19"/>
      <c r="K6" s="19" t="s">
        <v>183</v>
      </c>
      <c r="L6" s="19"/>
      <c r="M6" s="19"/>
      <c r="N6" s="24"/>
      <c r="O6" s="24"/>
      <c r="P6" s="24"/>
      <c r="Q6" s="24"/>
      <c r="R6" s="24"/>
      <c r="S6" s="15"/>
      <c r="T6" s="15"/>
      <c r="U6" s="15"/>
      <c r="V6" s="15"/>
    </row>
    <row r="7" spans="1:22" ht="60">
      <c r="A7" s="21">
        <v>6</v>
      </c>
      <c r="B7" s="19" t="s">
        <v>189</v>
      </c>
      <c r="C7" s="107" t="s">
        <v>0</v>
      </c>
      <c r="D7" s="19" t="s">
        <v>190</v>
      </c>
      <c r="E7" s="19" t="s">
        <v>191</v>
      </c>
      <c r="F7" s="19" t="s">
        <v>192</v>
      </c>
      <c r="G7" s="19"/>
      <c r="H7" s="19"/>
      <c r="I7" s="19"/>
      <c r="J7" s="19"/>
      <c r="K7" s="19"/>
      <c r="L7" s="19"/>
      <c r="M7" s="19"/>
      <c r="N7" s="24"/>
      <c r="O7" s="24"/>
      <c r="P7" s="24"/>
      <c r="Q7" s="24"/>
      <c r="R7" s="24"/>
      <c r="S7" s="15"/>
      <c r="T7" s="15"/>
      <c r="U7" s="15"/>
      <c r="V7" s="15"/>
    </row>
    <row r="8" spans="1:22" ht="195">
      <c r="A8" s="21">
        <v>7</v>
      </c>
      <c r="B8" s="19" t="s">
        <v>193</v>
      </c>
      <c r="C8" s="107" t="s">
        <v>0</v>
      </c>
      <c r="D8" s="19" t="s">
        <v>194</v>
      </c>
      <c r="E8" s="19" t="s">
        <v>195</v>
      </c>
      <c r="F8" s="19" t="s">
        <v>196</v>
      </c>
      <c r="G8" s="19"/>
      <c r="H8" s="19"/>
      <c r="I8" s="19"/>
      <c r="J8" s="19"/>
      <c r="K8" s="19"/>
      <c r="L8" s="19"/>
      <c r="M8" s="19"/>
      <c r="N8" s="24"/>
      <c r="O8" s="24"/>
      <c r="P8" s="24"/>
      <c r="Q8" s="24"/>
      <c r="R8" s="24"/>
      <c r="S8" s="15"/>
      <c r="T8" s="15"/>
      <c r="U8" s="15"/>
      <c r="V8" s="15"/>
    </row>
    <row r="9" spans="1:22" ht="75">
      <c r="A9" s="21">
        <v>8</v>
      </c>
      <c r="B9" s="19" t="s">
        <v>197</v>
      </c>
      <c r="C9" s="107" t="s">
        <v>0</v>
      </c>
      <c r="D9" s="19" t="s">
        <v>198</v>
      </c>
      <c r="E9" s="19" t="s">
        <v>199</v>
      </c>
      <c r="F9" s="19" t="s">
        <v>200</v>
      </c>
      <c r="G9" s="19"/>
      <c r="H9" s="19" t="s">
        <v>164</v>
      </c>
      <c r="I9" s="19" t="s">
        <v>201</v>
      </c>
      <c r="J9" s="19"/>
      <c r="K9" s="19" t="s">
        <v>166</v>
      </c>
      <c r="L9" s="19"/>
      <c r="M9" s="19"/>
      <c r="N9" s="24"/>
      <c r="O9" s="24"/>
      <c r="P9" s="24"/>
      <c r="Q9" s="24"/>
      <c r="R9" s="24"/>
      <c r="S9" s="15"/>
      <c r="T9" s="15"/>
      <c r="U9" s="15"/>
      <c r="V9" s="15"/>
    </row>
    <row r="10" spans="1:22" ht="135">
      <c r="A10" s="21">
        <v>9</v>
      </c>
      <c r="B10" s="19" t="s">
        <v>202</v>
      </c>
      <c r="C10" s="108" t="s">
        <v>2</v>
      </c>
      <c r="D10" s="19" t="s">
        <v>203</v>
      </c>
      <c r="E10" s="19" t="s">
        <v>204</v>
      </c>
      <c r="F10" s="19" t="s">
        <v>163</v>
      </c>
      <c r="G10" s="19"/>
      <c r="H10" s="19" t="s">
        <v>164</v>
      </c>
      <c r="I10" s="19" t="s">
        <v>165</v>
      </c>
      <c r="J10" s="19"/>
      <c r="K10" s="19" t="s">
        <v>166</v>
      </c>
      <c r="L10" s="19"/>
      <c r="M10" s="19"/>
      <c r="N10" s="24"/>
      <c r="O10" s="24"/>
      <c r="P10" s="24"/>
      <c r="Q10" s="24"/>
      <c r="R10" s="24"/>
      <c r="S10" s="15"/>
      <c r="T10" s="15"/>
      <c r="U10" s="15"/>
      <c r="V10" s="15"/>
    </row>
  </sheetData>
  <sortState xmlns:xlrd2="http://schemas.microsoft.com/office/spreadsheetml/2017/richdata2" ref="A11:H785">
    <sortCondition ref="C2:C785"/>
  </sortState>
  <conditionalFormatting sqref="C2:C10 C20:C785">
    <cfRule type="containsText" dxfId="9" priority="1" operator="containsText" text="Low">
      <formula>NOT(ISERROR(SEARCH("Low",C2)))</formula>
    </cfRule>
    <cfRule type="containsText" dxfId="8" priority="2" operator="containsText" text="Medium">
      <formula>NOT(ISERROR(SEARCH("Medium",C2)))</formula>
    </cfRule>
    <cfRule type="containsText" dxfId="7" priority="3" operator="containsText" text="Critical">
      <formula>NOT(ISERROR(SEARCH("Critical",C2)))</formula>
    </cfRule>
    <cfRule type="containsText" dxfId="6" priority="4" operator="containsText" text="High">
      <formula>NOT(ISERROR(SEARCH("High",C2)))</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AE99-83E3-4FF4-9B34-1B7F3EC33914}">
  <dimension ref="A1:P344"/>
  <sheetViews>
    <sheetView zoomScale="70" zoomScaleNormal="70" workbookViewId="0">
      <pane ySplit="1" topLeftCell="A2" activePane="bottomLeft" state="frozen"/>
      <selection activeCell="B1" sqref="B1"/>
      <selection pane="bottomLeft" activeCell="E33" sqref="A24:XFD335"/>
    </sheetView>
  </sheetViews>
  <sheetFormatPr defaultColWidth="8.7109375" defaultRowHeight="15"/>
  <cols>
    <col min="1" max="1" width="10.85546875" style="14" bestFit="1" customWidth="1"/>
    <col min="2" max="2" width="91.5703125" style="14" bestFit="1" customWidth="1"/>
    <col min="3" max="3" width="88.42578125" style="14" bestFit="1" customWidth="1"/>
    <col min="4" max="4" width="93.85546875" style="14" bestFit="1" customWidth="1"/>
    <col min="5" max="7" width="94" style="14" customWidth="1"/>
    <col min="8" max="8" width="23.28515625" style="14" bestFit="1" customWidth="1"/>
    <col min="9" max="9" width="67.140625" style="14" customWidth="1"/>
    <col min="10" max="10" width="22.42578125" style="14" bestFit="1" customWidth="1"/>
    <col min="11" max="11" width="17.85546875" style="14" bestFit="1" customWidth="1"/>
    <col min="12" max="12" width="24.28515625" style="14" bestFit="1" customWidth="1"/>
    <col min="13" max="13" width="27.140625" style="14" bestFit="1" customWidth="1"/>
    <col min="14" max="14" width="23.5703125" style="14" bestFit="1" customWidth="1"/>
    <col min="15" max="15" width="18.85546875" style="14" bestFit="1" customWidth="1"/>
    <col min="16" max="16384" width="8.7109375" style="14"/>
  </cols>
  <sheetData>
    <row r="1" spans="1:16" ht="27.75">
      <c r="A1" s="188" t="s">
        <v>211</v>
      </c>
      <c r="B1" s="188"/>
      <c r="C1" s="188"/>
      <c r="D1" s="188"/>
      <c r="E1" s="188"/>
      <c r="F1" s="188"/>
      <c r="G1" s="188"/>
      <c r="H1" s="188"/>
      <c r="I1" s="188"/>
      <c r="J1" s="188"/>
      <c r="K1" s="188"/>
      <c r="L1" s="31"/>
      <c r="M1" s="31"/>
      <c r="N1" s="31"/>
      <c r="O1" s="32"/>
      <c r="P1" s="31"/>
    </row>
    <row r="2" spans="1:16" ht="27.75">
      <c r="A2" s="189" t="s">
        <v>212</v>
      </c>
      <c r="B2" s="189"/>
      <c r="C2" s="189"/>
      <c r="D2" s="189"/>
      <c r="E2" s="189"/>
      <c r="F2" s="189"/>
      <c r="G2" s="189"/>
      <c r="H2" s="189"/>
      <c r="I2" s="189"/>
      <c r="J2" s="189"/>
      <c r="K2" s="189"/>
      <c r="L2" s="31"/>
      <c r="M2" s="31"/>
      <c r="N2" s="31"/>
      <c r="O2" s="32"/>
      <c r="P2" s="31"/>
    </row>
    <row r="3" spans="1:16" ht="27.75">
      <c r="A3" s="190" t="s">
        <v>213</v>
      </c>
      <c r="B3" s="191"/>
      <c r="C3" s="191"/>
      <c r="D3" s="191"/>
      <c r="E3" s="191"/>
      <c r="F3" s="191"/>
      <c r="G3" s="191"/>
      <c r="H3" s="191"/>
      <c r="I3" s="191"/>
      <c r="J3" s="191"/>
      <c r="K3" s="192"/>
      <c r="L3" s="31"/>
      <c r="M3" s="31"/>
      <c r="N3" s="31"/>
      <c r="O3" s="32"/>
      <c r="P3" s="31"/>
    </row>
    <row r="4" spans="1:16" ht="27.75">
      <c r="A4" s="189" t="s">
        <v>214</v>
      </c>
      <c r="B4" s="189"/>
      <c r="C4" s="189"/>
      <c r="D4" s="189"/>
      <c r="E4" s="189"/>
      <c r="F4" s="189"/>
      <c r="G4" s="189"/>
      <c r="H4" s="189"/>
      <c r="I4" s="189"/>
      <c r="J4" s="189"/>
      <c r="K4" s="189"/>
      <c r="L4" s="31"/>
      <c r="M4" s="31"/>
      <c r="N4" s="31"/>
      <c r="O4" s="32"/>
      <c r="P4" s="31"/>
    </row>
    <row r="5" spans="1:16" ht="27.75">
      <c r="A5" s="189" t="s">
        <v>215</v>
      </c>
      <c r="B5" s="189"/>
      <c r="C5" s="189"/>
      <c r="D5" s="189"/>
      <c r="E5" s="189"/>
      <c r="F5" s="189"/>
      <c r="G5" s="189"/>
      <c r="H5" s="189"/>
      <c r="I5" s="189"/>
      <c r="J5" s="189"/>
      <c r="K5" s="189"/>
      <c r="L5" s="31"/>
      <c r="M5" s="31"/>
      <c r="N5" s="31"/>
      <c r="O5" s="32"/>
      <c r="P5" s="31"/>
    </row>
    <row r="6" spans="1:16">
      <c r="A6" s="31"/>
      <c r="B6" s="31"/>
      <c r="C6" s="32"/>
      <c r="D6" s="32"/>
      <c r="E6" s="32"/>
      <c r="F6" s="32"/>
      <c r="G6" s="32"/>
      <c r="H6" s="31"/>
      <c r="I6" s="31"/>
      <c r="J6" s="31"/>
      <c r="K6" s="32"/>
      <c r="L6" s="31"/>
      <c r="M6" s="31"/>
      <c r="N6" s="31"/>
      <c r="O6" s="32"/>
      <c r="P6" s="31"/>
    </row>
    <row r="7" spans="1:16">
      <c r="A7" s="31"/>
      <c r="B7" s="31"/>
      <c r="C7" s="32"/>
      <c r="D7" s="32"/>
      <c r="E7" s="32"/>
      <c r="F7" s="32"/>
      <c r="G7" s="32"/>
      <c r="H7" s="31"/>
      <c r="I7" s="31"/>
      <c r="J7" s="31"/>
      <c r="K7" s="32"/>
      <c r="L7" s="31"/>
      <c r="M7" s="31"/>
      <c r="N7" s="31"/>
      <c r="O7" s="32"/>
      <c r="P7" s="31"/>
    </row>
    <row r="8" spans="1:16" ht="26.25" customHeight="1">
      <c r="A8" s="33" t="s">
        <v>216</v>
      </c>
      <c r="B8" s="34" t="s">
        <v>149</v>
      </c>
      <c r="C8" s="35" t="s">
        <v>217</v>
      </c>
      <c r="D8" s="36" t="s">
        <v>112</v>
      </c>
      <c r="E8" s="37" t="s">
        <v>218</v>
      </c>
      <c r="F8" s="38" t="s">
        <v>219</v>
      </c>
      <c r="G8" s="39" t="s">
        <v>220</v>
      </c>
      <c r="H8" s="31"/>
      <c r="I8" s="31"/>
      <c r="J8" s="31"/>
      <c r="K8" s="32"/>
      <c r="L8" s="31"/>
      <c r="M8" s="31"/>
      <c r="N8" s="31"/>
      <c r="O8" s="32"/>
      <c r="P8" s="31"/>
    </row>
    <row r="9" spans="1:16">
      <c r="A9" s="40" t="s">
        <v>221</v>
      </c>
      <c r="B9" s="40">
        <f>COUNTIF(Table219[Auditor''s Status],Table320[[#Headers],[Done]])</f>
        <v>1</v>
      </c>
      <c r="C9" s="40">
        <f>COUNTIF(Table219[Auditor''s Status],Table320[[#Headers],[Undone]])</f>
        <v>1</v>
      </c>
      <c r="D9" s="40">
        <f>COUNTIF(Table219[Auditor''s Status],Table320[[#Headers],[N/A]])</f>
        <v>1</v>
      </c>
      <c r="E9" s="40">
        <f>COUNTIF(Table219[Auditor''s Status],Table320[[#Headers],[Missing Evidence]])</f>
        <v>1</v>
      </c>
      <c r="F9" s="41">
        <f>COUNTIF(Table219[Auditor''s Status],Table320[[#Headers],[Manual Review]])</f>
        <v>1</v>
      </c>
      <c r="G9" s="41">
        <f>COUNTIF(Table219[Auditor''s Status],Table320[[#Headers],[Inprogress]])</f>
        <v>1</v>
      </c>
      <c r="H9" s="31"/>
      <c r="I9" s="31"/>
      <c r="J9" s="31"/>
      <c r="K9" s="32"/>
      <c r="L9" s="31"/>
      <c r="M9" s="31"/>
      <c r="N9" s="31"/>
      <c r="O9" s="32"/>
      <c r="P9" s="31"/>
    </row>
    <row r="10" spans="1:16">
      <c r="A10" s="40"/>
      <c r="B10" s="40"/>
      <c r="C10" s="40"/>
      <c r="D10" s="40"/>
      <c r="E10" s="40"/>
      <c r="F10" s="42"/>
      <c r="G10" s="42"/>
      <c r="H10" s="31"/>
      <c r="I10" s="31"/>
      <c r="J10" s="31"/>
      <c r="K10" s="32"/>
      <c r="L10" s="31"/>
      <c r="M10" s="31"/>
      <c r="N10" s="31"/>
      <c r="O10" s="32"/>
      <c r="P10" s="31"/>
    </row>
    <row r="11" spans="1:16">
      <c r="A11" s="36"/>
      <c r="B11" s="36"/>
      <c r="C11" s="36"/>
      <c r="D11" s="36"/>
      <c r="E11" s="36"/>
      <c r="F11" s="36"/>
      <c r="G11" s="36"/>
      <c r="H11" s="31"/>
      <c r="I11" s="31"/>
      <c r="J11" s="31"/>
      <c r="K11" s="32"/>
      <c r="L11" s="31"/>
      <c r="M11" s="31"/>
      <c r="N11" s="31"/>
      <c r="O11" s="32"/>
      <c r="P11" s="31"/>
    </row>
    <row r="12" spans="1:16">
      <c r="A12" s="36"/>
      <c r="B12" s="36"/>
      <c r="C12" s="36"/>
      <c r="D12" s="36"/>
      <c r="E12" s="36"/>
      <c r="F12" s="36"/>
      <c r="G12" s="36"/>
      <c r="H12" s="31"/>
      <c r="I12" s="31"/>
      <c r="J12" s="31"/>
      <c r="K12" s="32"/>
      <c r="L12" s="31"/>
      <c r="M12" s="31"/>
      <c r="N12" s="31"/>
      <c r="O12" s="32"/>
      <c r="P12" s="31"/>
    </row>
    <row r="13" spans="1:16">
      <c r="A13" s="36"/>
      <c r="B13" s="36"/>
      <c r="C13" s="36"/>
      <c r="D13" s="36"/>
      <c r="E13" s="36"/>
      <c r="F13" s="36"/>
      <c r="G13" s="36"/>
      <c r="H13" s="31"/>
      <c r="I13" s="31"/>
      <c r="J13" s="31"/>
      <c r="K13" s="32"/>
      <c r="L13" s="31"/>
      <c r="M13" s="31"/>
      <c r="N13" s="31"/>
      <c r="O13" s="32"/>
      <c r="P13" s="31"/>
    </row>
    <row r="14" spans="1:16" ht="24">
      <c r="A14" s="43"/>
      <c r="B14" s="43"/>
      <c r="C14" s="44"/>
      <c r="D14" s="44"/>
      <c r="E14" s="44"/>
      <c r="F14" s="44"/>
      <c r="G14" s="44"/>
      <c r="H14" s="43"/>
      <c r="I14" s="43"/>
      <c r="J14" s="181" t="s">
        <v>222</v>
      </c>
      <c r="K14" s="181"/>
      <c r="L14" s="43"/>
      <c r="M14" s="43"/>
      <c r="N14" s="181" t="s">
        <v>222</v>
      </c>
      <c r="O14" s="181"/>
      <c r="P14" s="43"/>
    </row>
    <row r="15" spans="1:16" ht="15.75" thickBot="1">
      <c r="A15" s="31"/>
      <c r="B15" s="31"/>
      <c r="C15" s="32"/>
      <c r="D15" s="32"/>
      <c r="E15" s="32"/>
      <c r="F15" s="32"/>
      <c r="G15" s="32"/>
      <c r="H15" s="31"/>
      <c r="I15" s="31"/>
      <c r="J15" s="182"/>
      <c r="K15" s="182"/>
      <c r="L15" s="31"/>
      <c r="M15" s="31"/>
      <c r="N15" s="182"/>
      <c r="O15" s="182"/>
      <c r="P15" s="31"/>
    </row>
    <row r="16" spans="1:16">
      <c r="A16" s="183" t="s">
        <v>223</v>
      </c>
      <c r="B16" s="183"/>
      <c r="C16" s="183"/>
      <c r="D16" s="183"/>
      <c r="E16" s="184"/>
      <c r="F16" s="45"/>
      <c r="G16" s="45"/>
      <c r="H16" s="185" t="s">
        <v>221</v>
      </c>
      <c r="I16" s="186"/>
      <c r="J16" s="186"/>
      <c r="K16" s="187"/>
      <c r="L16" s="185" t="s">
        <v>224</v>
      </c>
      <c r="M16" s="186"/>
      <c r="N16" s="186"/>
      <c r="O16" s="187"/>
      <c r="P16" s="31"/>
    </row>
    <row r="17" spans="1:16">
      <c r="A17" s="46" t="s">
        <v>225</v>
      </c>
      <c r="B17" s="46" t="s">
        <v>226</v>
      </c>
      <c r="C17" s="46" t="s">
        <v>227</v>
      </c>
      <c r="D17" s="47" t="s">
        <v>228</v>
      </c>
      <c r="E17" s="47" t="s">
        <v>229</v>
      </c>
      <c r="F17" s="48" t="s">
        <v>205</v>
      </c>
      <c r="G17" s="48" t="s">
        <v>206</v>
      </c>
      <c r="H17" s="49" t="s">
        <v>230</v>
      </c>
      <c r="I17" s="50" t="s">
        <v>231</v>
      </c>
      <c r="J17" s="50" t="s">
        <v>232</v>
      </c>
      <c r="K17" s="51" t="s">
        <v>233</v>
      </c>
      <c r="L17" s="49" t="s">
        <v>234</v>
      </c>
      <c r="M17" s="50" t="s">
        <v>235</v>
      </c>
      <c r="N17" s="50" t="s">
        <v>236</v>
      </c>
      <c r="O17" s="51" t="s">
        <v>237</v>
      </c>
      <c r="P17" s="31"/>
    </row>
    <row r="18" spans="1:16" ht="409.5">
      <c r="A18" s="52">
        <v>1</v>
      </c>
      <c r="B18" s="53" t="s">
        <v>238</v>
      </c>
      <c r="C18" s="53" t="s">
        <v>239</v>
      </c>
      <c r="D18" s="54" t="s">
        <v>240</v>
      </c>
      <c r="E18" s="55" t="s">
        <v>241</v>
      </c>
      <c r="F18" s="56" t="s">
        <v>242</v>
      </c>
      <c r="G18" s="57" t="s">
        <v>243</v>
      </c>
      <c r="H18" s="58" t="s">
        <v>149</v>
      </c>
      <c r="I18" s="59" t="s">
        <v>244</v>
      </c>
      <c r="J18" s="60"/>
      <c r="K18" s="61"/>
      <c r="L18" s="58"/>
      <c r="M18" s="60"/>
      <c r="N18" s="62"/>
      <c r="O18" s="63"/>
      <c r="P18" s="31"/>
    </row>
    <row r="19" spans="1:16" ht="409.5">
      <c r="A19" s="52">
        <v>2</v>
      </c>
      <c r="B19" s="68" t="s">
        <v>246</v>
      </c>
      <c r="C19" s="68" t="s">
        <v>247</v>
      </c>
      <c r="D19" s="30" t="s">
        <v>248</v>
      </c>
      <c r="E19" s="55" t="s">
        <v>249</v>
      </c>
      <c r="F19" s="64" t="s">
        <v>250</v>
      </c>
      <c r="G19" s="65" t="s">
        <v>245</v>
      </c>
      <c r="H19" s="58" t="s">
        <v>217</v>
      </c>
      <c r="I19" s="60" t="s">
        <v>251</v>
      </c>
      <c r="J19" s="60"/>
      <c r="K19" s="61"/>
      <c r="L19" s="58"/>
      <c r="M19" s="60"/>
      <c r="N19" s="62"/>
      <c r="O19" s="61"/>
      <c r="P19" s="31"/>
    </row>
    <row r="20" spans="1:16" ht="409.5">
      <c r="A20" s="52">
        <v>3</v>
      </c>
      <c r="B20" s="68" t="s">
        <v>252</v>
      </c>
      <c r="C20" s="68" t="s">
        <v>253</v>
      </c>
      <c r="D20" s="30" t="s">
        <v>254</v>
      </c>
      <c r="E20" s="55" t="s">
        <v>255</v>
      </c>
      <c r="F20" s="64" t="s">
        <v>256</v>
      </c>
      <c r="G20" s="65" t="s">
        <v>245</v>
      </c>
      <c r="H20" s="67" t="s">
        <v>112</v>
      </c>
      <c r="I20" s="60" t="s">
        <v>257</v>
      </c>
      <c r="J20" s="60"/>
      <c r="K20" s="61"/>
      <c r="L20" s="58"/>
      <c r="M20" s="60"/>
      <c r="N20" s="62"/>
      <c r="O20" s="61"/>
      <c r="P20" s="31"/>
    </row>
    <row r="21" spans="1:16" ht="51">
      <c r="A21" s="52">
        <v>4</v>
      </c>
      <c r="B21" s="68" t="s">
        <v>258</v>
      </c>
      <c r="C21" s="68" t="s">
        <v>259</v>
      </c>
      <c r="D21" s="30" t="s">
        <v>260</v>
      </c>
      <c r="E21" s="55" t="s">
        <v>261</v>
      </c>
      <c r="F21" s="64" t="s">
        <v>262</v>
      </c>
      <c r="G21" s="65" t="s">
        <v>263</v>
      </c>
      <c r="H21" s="58" t="s">
        <v>218</v>
      </c>
      <c r="I21" s="60" t="s">
        <v>264</v>
      </c>
      <c r="J21" s="60"/>
      <c r="K21" s="61"/>
      <c r="L21" s="58"/>
      <c r="M21" s="60"/>
      <c r="N21" s="62"/>
      <c r="O21" s="61"/>
      <c r="P21" s="31"/>
    </row>
    <row r="22" spans="1:16" ht="76.5">
      <c r="A22" s="52">
        <v>5</v>
      </c>
      <c r="B22" s="68" t="s">
        <v>265</v>
      </c>
      <c r="C22" s="68" t="s">
        <v>266</v>
      </c>
      <c r="D22" s="30" t="s">
        <v>267</v>
      </c>
      <c r="E22" s="55" t="s">
        <v>268</v>
      </c>
      <c r="F22" s="64" t="s">
        <v>269</v>
      </c>
      <c r="G22" s="65" t="s">
        <v>245</v>
      </c>
      <c r="H22" s="58" t="s">
        <v>219</v>
      </c>
      <c r="I22" s="60" t="s">
        <v>270</v>
      </c>
      <c r="J22" s="60"/>
      <c r="K22" s="61"/>
      <c r="L22" s="58"/>
      <c r="M22" s="60"/>
      <c r="N22" s="62"/>
      <c r="O22" s="61"/>
      <c r="P22" s="31"/>
    </row>
    <row r="23" spans="1:16" ht="150">
      <c r="A23" s="52">
        <v>6</v>
      </c>
      <c r="B23" s="68" t="s">
        <v>271</v>
      </c>
      <c r="C23" s="68" t="s">
        <v>272</v>
      </c>
      <c r="D23" s="30" t="s">
        <v>273</v>
      </c>
      <c r="E23" s="55" t="s">
        <v>274</v>
      </c>
      <c r="F23" s="64" t="s">
        <v>275</v>
      </c>
      <c r="G23" s="65" t="s">
        <v>276</v>
      </c>
      <c r="H23" s="58" t="s">
        <v>220</v>
      </c>
      <c r="I23" s="60" t="s">
        <v>277</v>
      </c>
      <c r="J23" s="60"/>
      <c r="K23" s="61"/>
      <c r="L23" s="58"/>
      <c r="M23" s="60"/>
      <c r="N23" s="62"/>
      <c r="O23" s="61"/>
      <c r="P23" s="31"/>
    </row>
    <row r="24" spans="1:16" s="194" customFormat="1">
      <c r="A24" s="193"/>
      <c r="B24" s="193"/>
      <c r="C24" s="193"/>
      <c r="D24" s="193"/>
      <c r="E24" s="193"/>
      <c r="F24" s="193"/>
      <c r="G24" s="193"/>
      <c r="H24" s="193"/>
      <c r="I24" s="193"/>
      <c r="J24" s="193"/>
      <c r="K24" s="193"/>
      <c r="L24" s="193"/>
      <c r="M24" s="193"/>
      <c r="N24" s="193"/>
      <c r="O24" s="193"/>
      <c r="P24" s="193"/>
    </row>
    <row r="25" spans="1:16">
      <c r="A25" s="31"/>
      <c r="B25" s="31"/>
      <c r="C25" s="31"/>
      <c r="D25" s="31"/>
      <c r="E25" s="31"/>
      <c r="F25" s="31"/>
      <c r="G25" s="31"/>
    </row>
    <row r="26" spans="1:16" s="194" customFormat="1">
      <c r="A26" s="193"/>
      <c r="B26" s="193"/>
      <c r="C26" s="193"/>
      <c r="D26" s="193"/>
      <c r="E26" s="193"/>
      <c r="F26" s="193"/>
      <c r="G26" s="193"/>
      <c r="H26" s="193"/>
      <c r="I26" s="193"/>
      <c r="J26" s="193"/>
      <c r="K26" s="193"/>
      <c r="L26" s="193"/>
      <c r="M26" s="193"/>
      <c r="N26" s="193"/>
      <c r="O26" s="193"/>
      <c r="P26" s="193"/>
    </row>
    <row r="27" spans="1:16">
      <c r="A27" s="31"/>
      <c r="B27" s="31"/>
      <c r="C27" s="31"/>
      <c r="D27" s="31"/>
      <c r="E27" s="31"/>
      <c r="F27" s="31"/>
      <c r="G27" s="31"/>
    </row>
    <row r="28" spans="1:16" s="194" customFormat="1">
      <c r="A28" s="193"/>
      <c r="B28" s="193"/>
      <c r="C28" s="193"/>
      <c r="D28" s="193"/>
      <c r="E28" s="193"/>
      <c r="F28" s="193"/>
      <c r="G28" s="193"/>
      <c r="H28" s="193"/>
      <c r="I28" s="193"/>
      <c r="J28" s="193"/>
      <c r="K28" s="193"/>
      <c r="L28" s="193"/>
      <c r="M28" s="193"/>
      <c r="N28" s="193"/>
      <c r="O28" s="193"/>
      <c r="P28" s="193"/>
    </row>
    <row r="29" spans="1:16">
      <c r="A29" s="31"/>
      <c r="B29" s="31"/>
      <c r="C29" s="31"/>
      <c r="D29" s="31"/>
      <c r="E29" s="31"/>
      <c r="F29" s="31"/>
      <c r="G29" s="31"/>
    </row>
    <row r="30" spans="1:16" s="194" customFormat="1">
      <c r="A30" s="193"/>
      <c r="B30" s="193"/>
      <c r="C30" s="193"/>
      <c r="D30" s="193"/>
      <c r="E30" s="193"/>
      <c r="F30" s="193"/>
      <c r="G30" s="193"/>
      <c r="H30" s="193"/>
      <c r="I30" s="193"/>
      <c r="J30" s="193"/>
      <c r="K30" s="193"/>
      <c r="L30" s="193"/>
      <c r="M30" s="193"/>
      <c r="N30" s="193"/>
      <c r="O30" s="193"/>
      <c r="P30" s="193"/>
    </row>
    <row r="31" spans="1:16">
      <c r="A31" s="31"/>
      <c r="B31" s="31"/>
      <c r="C31" s="31"/>
      <c r="D31" s="31"/>
      <c r="E31" s="31"/>
      <c r="F31" s="31"/>
      <c r="G31" s="31"/>
    </row>
    <row r="32" spans="1:16" s="194" customFormat="1">
      <c r="A32" s="193"/>
      <c r="B32" s="193"/>
      <c r="C32" s="193"/>
      <c r="D32" s="193"/>
      <c r="E32" s="193"/>
      <c r="F32" s="193"/>
      <c r="G32" s="193"/>
      <c r="H32" s="193"/>
      <c r="I32" s="193"/>
      <c r="J32" s="193"/>
      <c r="K32" s="193"/>
      <c r="L32" s="193"/>
      <c r="M32" s="193"/>
      <c r="N32" s="193"/>
      <c r="O32" s="193"/>
      <c r="P32" s="193"/>
    </row>
    <row r="33" spans="1:16">
      <c r="A33" s="31"/>
      <c r="B33" s="31"/>
      <c r="C33" s="31"/>
      <c r="D33" s="31"/>
      <c r="E33" s="31"/>
      <c r="F33" s="31"/>
      <c r="G33" s="31"/>
    </row>
    <row r="34" spans="1:16" s="194" customFormat="1">
      <c r="A34" s="193"/>
      <c r="B34" s="193"/>
      <c r="C34" s="193"/>
      <c r="D34" s="193"/>
      <c r="E34" s="193"/>
      <c r="F34" s="193"/>
      <c r="G34" s="193"/>
      <c r="H34" s="193"/>
      <c r="I34" s="193"/>
      <c r="J34" s="193"/>
      <c r="K34" s="193"/>
      <c r="L34" s="193"/>
      <c r="M34" s="193"/>
      <c r="N34" s="193"/>
      <c r="O34" s="193"/>
      <c r="P34" s="193"/>
    </row>
    <row r="35" spans="1:16" s="194" customFormat="1">
      <c r="A35" s="193"/>
      <c r="B35" s="193"/>
      <c r="C35" s="193"/>
      <c r="D35" s="193"/>
      <c r="E35" s="193"/>
      <c r="F35" s="193"/>
      <c r="G35" s="193"/>
      <c r="H35" s="193"/>
      <c r="I35" s="193"/>
      <c r="J35" s="193"/>
      <c r="K35" s="193"/>
      <c r="L35" s="193"/>
      <c r="M35" s="193"/>
      <c r="N35" s="193"/>
      <c r="O35" s="193"/>
      <c r="P35" s="193"/>
    </row>
    <row r="36" spans="1:16">
      <c r="A36" s="31"/>
      <c r="B36" s="31"/>
      <c r="C36" s="31"/>
      <c r="D36" s="31"/>
      <c r="E36" s="31"/>
      <c r="F36" s="31"/>
      <c r="G36" s="31"/>
    </row>
    <row r="37" spans="1:16" s="194" customFormat="1">
      <c r="A37" s="193"/>
      <c r="B37" s="193"/>
      <c r="C37" s="193"/>
      <c r="D37" s="193"/>
      <c r="E37" s="193"/>
      <c r="F37" s="193"/>
      <c r="G37" s="193"/>
      <c r="H37" s="193"/>
      <c r="I37" s="193"/>
      <c r="J37" s="193"/>
      <c r="K37" s="193"/>
      <c r="L37" s="193"/>
      <c r="M37" s="193"/>
      <c r="N37" s="193"/>
      <c r="O37" s="193"/>
      <c r="P37" s="193"/>
    </row>
    <row r="38" spans="1:16">
      <c r="A38" s="31"/>
      <c r="B38" s="31"/>
      <c r="C38" s="31"/>
      <c r="D38" s="31"/>
      <c r="E38" s="31"/>
      <c r="F38" s="31"/>
      <c r="G38" s="31"/>
    </row>
    <row r="39" spans="1:16" s="194" customFormat="1">
      <c r="A39" s="193"/>
      <c r="B39" s="193"/>
      <c r="C39" s="193"/>
      <c r="D39" s="193"/>
      <c r="E39" s="193"/>
      <c r="F39" s="193"/>
      <c r="G39" s="193"/>
      <c r="H39" s="193"/>
      <c r="I39" s="193"/>
      <c r="J39" s="193"/>
      <c r="K39" s="193"/>
      <c r="L39" s="193"/>
      <c r="M39" s="193"/>
      <c r="N39" s="193"/>
      <c r="O39" s="193"/>
      <c r="P39" s="193"/>
    </row>
    <row r="40" spans="1:16">
      <c r="A40" s="31"/>
      <c r="B40" s="31"/>
      <c r="C40" s="31"/>
      <c r="D40" s="31"/>
      <c r="E40" s="31"/>
      <c r="F40" s="31"/>
      <c r="G40" s="31"/>
    </row>
    <row r="41" spans="1:16" s="194" customFormat="1">
      <c r="A41" s="193"/>
      <c r="B41" s="193"/>
      <c r="C41" s="193"/>
      <c r="D41" s="193"/>
      <c r="E41" s="193"/>
      <c r="F41" s="193"/>
      <c r="G41" s="193"/>
      <c r="H41" s="193"/>
      <c r="I41" s="193"/>
      <c r="J41" s="193"/>
      <c r="K41" s="193"/>
      <c r="L41" s="193"/>
      <c r="M41" s="193"/>
      <c r="N41" s="193"/>
      <c r="O41" s="193"/>
      <c r="P41" s="193"/>
    </row>
    <row r="42" spans="1:16">
      <c r="A42" s="31"/>
      <c r="B42" s="31"/>
      <c r="C42" s="31"/>
      <c r="D42" s="31"/>
      <c r="E42" s="31"/>
      <c r="F42" s="31"/>
      <c r="G42" s="31"/>
    </row>
    <row r="43" spans="1:16" s="194" customFormat="1">
      <c r="A43" s="193"/>
      <c r="B43" s="193"/>
      <c r="C43" s="193"/>
      <c r="D43" s="193"/>
      <c r="E43" s="193"/>
      <c r="F43" s="193"/>
      <c r="G43" s="193"/>
      <c r="H43" s="193"/>
      <c r="I43" s="193"/>
      <c r="J43" s="193"/>
      <c r="K43" s="193"/>
      <c r="L43" s="193"/>
      <c r="M43" s="193"/>
      <c r="N43" s="193"/>
      <c r="O43" s="193"/>
      <c r="P43" s="193"/>
    </row>
    <row r="44" spans="1:16">
      <c r="A44" s="31"/>
      <c r="B44" s="31"/>
      <c r="C44" s="31"/>
      <c r="D44" s="31"/>
      <c r="E44" s="31"/>
      <c r="F44" s="31"/>
      <c r="G44" s="31"/>
    </row>
    <row r="45" spans="1:16" s="194" customFormat="1">
      <c r="A45" s="193"/>
      <c r="B45" s="193"/>
      <c r="C45" s="193"/>
      <c r="D45" s="193"/>
      <c r="E45" s="193"/>
      <c r="F45" s="193"/>
      <c r="G45" s="193"/>
      <c r="H45" s="193"/>
      <c r="I45" s="193"/>
      <c r="J45" s="193"/>
      <c r="K45" s="193"/>
      <c r="L45" s="193"/>
      <c r="M45" s="193"/>
      <c r="N45" s="193"/>
      <c r="O45" s="193"/>
      <c r="P45" s="193"/>
    </row>
    <row r="46" spans="1:16" s="194" customFormat="1">
      <c r="A46" s="193"/>
      <c r="B46" s="193"/>
      <c r="C46" s="193"/>
      <c r="D46" s="193"/>
      <c r="E46" s="193"/>
      <c r="F46" s="193"/>
      <c r="G46" s="193"/>
      <c r="H46" s="193"/>
      <c r="I46" s="193"/>
      <c r="J46" s="193"/>
      <c r="K46" s="193"/>
      <c r="L46" s="193"/>
      <c r="M46" s="193"/>
      <c r="N46" s="193"/>
      <c r="O46" s="193"/>
      <c r="P46" s="193"/>
    </row>
    <row r="47" spans="1:16">
      <c r="A47" s="31"/>
      <c r="B47" s="31"/>
      <c r="C47" s="31"/>
      <c r="D47" s="31"/>
      <c r="E47" s="31"/>
      <c r="F47" s="31"/>
      <c r="G47" s="31"/>
    </row>
    <row r="48" spans="1:16" s="194" customFormat="1">
      <c r="A48" s="193"/>
      <c r="B48" s="193"/>
      <c r="C48" s="193"/>
      <c r="D48" s="193"/>
      <c r="E48" s="193"/>
      <c r="F48" s="193"/>
      <c r="G48" s="193"/>
      <c r="H48" s="193"/>
      <c r="I48" s="193"/>
      <c r="J48" s="193"/>
      <c r="K48" s="193"/>
      <c r="L48" s="193"/>
      <c r="M48" s="193"/>
      <c r="N48" s="193"/>
      <c r="O48" s="193"/>
      <c r="P48" s="193"/>
    </row>
    <row r="49" spans="1:16">
      <c r="A49" s="31"/>
      <c r="B49" s="31"/>
      <c r="C49" s="31"/>
      <c r="D49" s="31"/>
      <c r="E49" s="31"/>
      <c r="F49" s="31"/>
      <c r="G49" s="31"/>
    </row>
    <row r="50" spans="1:16" s="194" customFormat="1">
      <c r="A50" s="193"/>
      <c r="B50" s="193"/>
      <c r="C50" s="193"/>
      <c r="D50" s="193"/>
      <c r="E50" s="193"/>
      <c r="F50" s="193"/>
      <c r="G50" s="193"/>
      <c r="H50" s="193"/>
      <c r="I50" s="193"/>
      <c r="J50" s="193"/>
      <c r="K50" s="193"/>
      <c r="L50" s="193"/>
      <c r="M50" s="193"/>
      <c r="N50" s="193"/>
      <c r="O50" s="193"/>
      <c r="P50" s="193"/>
    </row>
    <row r="51" spans="1:16">
      <c r="A51" s="31"/>
      <c r="B51" s="31"/>
      <c r="C51" s="31"/>
      <c r="D51" s="31"/>
      <c r="E51" s="31"/>
      <c r="F51" s="31"/>
      <c r="G51" s="31"/>
    </row>
    <row r="52" spans="1:16" s="194" customFormat="1">
      <c r="A52" s="193"/>
      <c r="B52" s="193"/>
      <c r="C52" s="193"/>
      <c r="D52" s="193"/>
      <c r="E52" s="193"/>
      <c r="F52" s="193"/>
      <c r="G52" s="193"/>
      <c r="H52" s="193"/>
      <c r="I52" s="193"/>
      <c r="J52" s="193"/>
      <c r="K52" s="193"/>
      <c r="L52" s="193"/>
      <c r="M52" s="193"/>
      <c r="N52" s="193"/>
      <c r="O52" s="193"/>
      <c r="P52" s="193"/>
    </row>
    <row r="53" spans="1:16">
      <c r="A53" s="31"/>
      <c r="B53" s="31"/>
      <c r="C53" s="31"/>
      <c r="D53" s="31"/>
      <c r="E53" s="31"/>
      <c r="F53" s="31"/>
      <c r="G53" s="31"/>
    </row>
    <row r="54" spans="1:16" s="194" customFormat="1">
      <c r="A54" s="193"/>
      <c r="B54" s="193"/>
      <c r="C54" s="193"/>
      <c r="D54" s="193"/>
      <c r="E54" s="193"/>
      <c r="F54" s="193"/>
      <c r="G54" s="193"/>
      <c r="H54" s="193"/>
      <c r="I54" s="193"/>
      <c r="J54" s="193"/>
      <c r="K54" s="193"/>
      <c r="L54" s="193"/>
      <c r="M54" s="193"/>
      <c r="N54" s="193"/>
      <c r="O54" s="193"/>
      <c r="P54" s="193"/>
    </row>
    <row r="55" spans="1:16">
      <c r="A55" s="31"/>
      <c r="B55" s="31"/>
      <c r="C55" s="31"/>
      <c r="D55" s="31"/>
      <c r="E55" s="31"/>
      <c r="F55" s="31"/>
      <c r="G55" s="31"/>
    </row>
    <row r="56" spans="1:16" s="194" customFormat="1">
      <c r="A56" s="193"/>
      <c r="B56" s="193"/>
      <c r="C56" s="193"/>
      <c r="D56" s="193"/>
      <c r="E56" s="193"/>
      <c r="F56" s="193"/>
      <c r="G56" s="193"/>
      <c r="H56" s="193"/>
      <c r="I56" s="193"/>
      <c r="J56" s="193"/>
      <c r="K56" s="193"/>
      <c r="L56" s="193"/>
      <c r="M56" s="193"/>
      <c r="N56" s="193"/>
      <c r="O56" s="193"/>
      <c r="P56" s="193"/>
    </row>
    <row r="57" spans="1:16" s="194" customFormat="1">
      <c r="A57" s="193"/>
      <c r="B57" s="193"/>
      <c r="C57" s="193"/>
      <c r="D57" s="193"/>
      <c r="E57" s="193"/>
      <c r="F57" s="193"/>
      <c r="G57" s="193"/>
      <c r="H57" s="193"/>
      <c r="I57" s="193"/>
      <c r="J57" s="193"/>
      <c r="K57" s="193"/>
      <c r="L57" s="193"/>
      <c r="M57" s="193"/>
      <c r="N57" s="193"/>
      <c r="O57" s="193"/>
      <c r="P57" s="193"/>
    </row>
    <row r="58" spans="1:16">
      <c r="A58" s="31"/>
      <c r="B58" s="31"/>
      <c r="C58" s="31"/>
      <c r="D58" s="31"/>
      <c r="E58" s="31"/>
      <c r="F58" s="31"/>
      <c r="G58" s="31"/>
    </row>
    <row r="59" spans="1:16" s="194" customFormat="1">
      <c r="A59" s="193"/>
      <c r="B59" s="193"/>
      <c r="C59" s="193"/>
      <c r="D59" s="193"/>
      <c r="E59" s="193"/>
      <c r="F59" s="193"/>
      <c r="G59" s="193"/>
      <c r="H59" s="193"/>
      <c r="I59" s="193"/>
      <c r="J59" s="193"/>
      <c r="K59" s="193"/>
      <c r="L59" s="193"/>
      <c r="M59" s="193"/>
      <c r="N59" s="193"/>
      <c r="O59" s="193"/>
      <c r="P59" s="193"/>
    </row>
    <row r="60" spans="1:16">
      <c r="A60" s="31"/>
      <c r="B60" s="31"/>
      <c r="C60" s="31"/>
      <c r="D60" s="31"/>
      <c r="E60" s="31"/>
      <c r="F60" s="31"/>
      <c r="G60" s="31"/>
    </row>
    <row r="61" spans="1:16" s="194" customFormat="1">
      <c r="A61" s="193"/>
      <c r="B61" s="193"/>
      <c r="C61" s="193"/>
      <c r="D61" s="193"/>
      <c r="E61" s="193"/>
      <c r="F61" s="193"/>
      <c r="G61" s="193"/>
      <c r="H61" s="193"/>
      <c r="I61" s="193"/>
      <c r="J61" s="193"/>
      <c r="K61" s="193"/>
      <c r="L61" s="193"/>
      <c r="M61" s="193"/>
      <c r="N61" s="193"/>
      <c r="O61" s="193"/>
      <c r="P61" s="193"/>
    </row>
    <row r="62" spans="1:16">
      <c r="A62" s="31"/>
      <c r="B62" s="31"/>
      <c r="C62" s="31"/>
      <c r="D62" s="31"/>
      <c r="E62" s="31"/>
      <c r="F62" s="31"/>
      <c r="G62" s="31"/>
    </row>
    <row r="63" spans="1:16" s="194" customFormat="1">
      <c r="A63" s="193"/>
      <c r="B63" s="193"/>
      <c r="C63" s="193"/>
      <c r="D63" s="193"/>
      <c r="E63" s="193"/>
      <c r="F63" s="193"/>
      <c r="G63" s="193"/>
      <c r="H63" s="193"/>
      <c r="I63" s="193"/>
      <c r="J63" s="193"/>
      <c r="K63" s="193"/>
      <c r="L63" s="193"/>
      <c r="M63" s="193"/>
      <c r="N63" s="193"/>
      <c r="O63" s="193"/>
      <c r="P63" s="193"/>
    </row>
    <row r="64" spans="1:16">
      <c r="A64" s="31"/>
      <c r="B64" s="31"/>
      <c r="C64" s="31"/>
      <c r="D64" s="31"/>
      <c r="E64" s="31"/>
      <c r="F64" s="31"/>
      <c r="G64" s="31"/>
    </row>
    <row r="65" spans="1:16" s="194" customFormat="1">
      <c r="A65" s="193"/>
      <c r="B65" s="193"/>
      <c r="C65" s="193"/>
      <c r="D65" s="193"/>
      <c r="E65" s="193"/>
      <c r="F65" s="193"/>
      <c r="G65" s="193"/>
      <c r="H65" s="193"/>
      <c r="I65" s="193"/>
      <c r="J65" s="193"/>
      <c r="K65" s="193"/>
      <c r="L65" s="193"/>
      <c r="M65" s="193"/>
      <c r="N65" s="193"/>
      <c r="O65" s="193"/>
      <c r="P65" s="193"/>
    </row>
    <row r="66" spans="1:16">
      <c r="A66" s="31"/>
      <c r="B66" s="31"/>
      <c r="C66" s="31"/>
      <c r="D66" s="31"/>
      <c r="E66" s="31"/>
      <c r="F66" s="31"/>
      <c r="G66" s="31"/>
    </row>
    <row r="67" spans="1:16" s="194" customFormat="1">
      <c r="A67" s="193"/>
      <c r="B67" s="193"/>
      <c r="C67" s="193"/>
      <c r="D67" s="193"/>
      <c r="E67" s="193"/>
      <c r="F67" s="193"/>
      <c r="G67" s="193"/>
      <c r="H67" s="193"/>
      <c r="I67" s="193"/>
      <c r="J67" s="193"/>
      <c r="K67" s="193"/>
      <c r="L67" s="193"/>
      <c r="M67" s="193"/>
      <c r="N67" s="193"/>
      <c r="O67" s="193"/>
      <c r="P67" s="193"/>
    </row>
    <row r="68" spans="1:16" s="194" customFormat="1">
      <c r="A68" s="193"/>
      <c r="B68" s="193"/>
      <c r="C68" s="193"/>
      <c r="D68" s="193"/>
      <c r="E68" s="193"/>
      <c r="F68" s="193"/>
      <c r="G68" s="193"/>
      <c r="H68" s="193"/>
      <c r="I68" s="193"/>
      <c r="J68" s="193"/>
      <c r="K68" s="193"/>
      <c r="L68" s="193"/>
      <c r="M68" s="193"/>
      <c r="N68" s="193"/>
      <c r="O68" s="193"/>
      <c r="P68" s="193"/>
    </row>
    <row r="69" spans="1:16">
      <c r="A69" s="31"/>
      <c r="B69" s="31"/>
      <c r="C69" s="31"/>
      <c r="D69" s="31"/>
      <c r="E69" s="31"/>
      <c r="F69" s="31"/>
      <c r="G69" s="31"/>
    </row>
    <row r="70" spans="1:16" s="194" customFormat="1">
      <c r="A70" s="193"/>
      <c r="B70" s="193"/>
      <c r="C70" s="193"/>
      <c r="D70" s="193"/>
      <c r="E70" s="193"/>
      <c r="F70" s="193"/>
      <c r="G70" s="193"/>
      <c r="H70" s="193"/>
      <c r="I70" s="193"/>
      <c r="J70" s="193"/>
      <c r="K70" s="193"/>
      <c r="L70" s="193"/>
      <c r="M70" s="193"/>
      <c r="N70" s="193"/>
      <c r="O70" s="193"/>
      <c r="P70" s="193"/>
    </row>
    <row r="71" spans="1:16">
      <c r="A71" s="31"/>
      <c r="B71" s="31"/>
      <c r="C71" s="31"/>
      <c r="D71" s="31"/>
      <c r="E71" s="31"/>
      <c r="F71" s="31"/>
      <c r="G71" s="31"/>
    </row>
    <row r="72" spans="1:16" s="194" customFormat="1">
      <c r="A72" s="193"/>
      <c r="B72" s="193"/>
      <c r="C72" s="193"/>
      <c r="D72" s="193"/>
      <c r="E72" s="193"/>
      <c r="F72" s="193"/>
      <c r="G72" s="193"/>
      <c r="H72" s="193"/>
      <c r="I72" s="193"/>
      <c r="J72" s="193"/>
      <c r="K72" s="193"/>
      <c r="L72" s="193"/>
      <c r="M72" s="193"/>
      <c r="N72" s="193"/>
      <c r="O72" s="193"/>
      <c r="P72" s="193"/>
    </row>
    <row r="73" spans="1:16">
      <c r="A73" s="31"/>
      <c r="B73" s="31"/>
      <c r="C73" s="31"/>
      <c r="D73" s="31"/>
      <c r="E73" s="31"/>
      <c r="F73" s="31"/>
      <c r="G73" s="31"/>
    </row>
    <row r="74" spans="1:16" s="194" customFormat="1">
      <c r="A74" s="193"/>
      <c r="B74" s="193"/>
      <c r="C74" s="193"/>
      <c r="D74" s="193"/>
      <c r="E74" s="193"/>
      <c r="F74" s="193"/>
      <c r="G74" s="193"/>
      <c r="H74" s="193"/>
      <c r="I74" s="193"/>
      <c r="J74" s="193"/>
      <c r="K74" s="193"/>
      <c r="L74" s="193"/>
      <c r="M74" s="193"/>
      <c r="N74" s="193"/>
      <c r="O74" s="193"/>
      <c r="P74" s="193"/>
    </row>
    <row r="75" spans="1:16">
      <c r="A75" s="31"/>
      <c r="B75" s="31"/>
      <c r="C75" s="31"/>
      <c r="D75" s="31"/>
      <c r="E75" s="31"/>
      <c r="F75" s="31"/>
      <c r="G75" s="31"/>
    </row>
    <row r="76" spans="1:16" s="194" customFormat="1">
      <c r="A76" s="193"/>
      <c r="B76" s="193"/>
      <c r="C76" s="193"/>
      <c r="D76" s="193"/>
      <c r="E76" s="193"/>
      <c r="F76" s="193"/>
      <c r="G76" s="193"/>
      <c r="H76" s="193"/>
      <c r="I76" s="193"/>
      <c r="J76" s="193"/>
      <c r="K76" s="193"/>
      <c r="L76" s="193"/>
      <c r="M76" s="193"/>
      <c r="N76" s="193"/>
      <c r="O76" s="193"/>
      <c r="P76" s="193"/>
    </row>
    <row r="77" spans="1:16">
      <c r="A77" s="31"/>
      <c r="B77" s="31"/>
      <c r="C77" s="31"/>
      <c r="D77" s="31"/>
      <c r="E77" s="31"/>
      <c r="F77" s="31"/>
      <c r="G77" s="31"/>
    </row>
    <row r="78" spans="1:16" s="194" customFormat="1">
      <c r="A78" s="193"/>
      <c r="B78" s="193"/>
      <c r="C78" s="193"/>
      <c r="D78" s="193"/>
      <c r="E78" s="193"/>
      <c r="F78" s="193"/>
      <c r="G78" s="193"/>
      <c r="H78" s="193"/>
      <c r="I78" s="193"/>
      <c r="J78" s="193"/>
      <c r="K78" s="193"/>
      <c r="L78" s="193"/>
      <c r="M78" s="193"/>
      <c r="N78" s="193"/>
      <c r="O78" s="193"/>
      <c r="P78" s="193"/>
    </row>
    <row r="79" spans="1:16" s="194" customFormat="1">
      <c r="A79" s="193"/>
      <c r="B79" s="193"/>
      <c r="C79" s="193"/>
      <c r="D79" s="193"/>
      <c r="E79" s="193"/>
      <c r="F79" s="193"/>
      <c r="G79" s="193"/>
      <c r="H79" s="193"/>
      <c r="I79" s="193"/>
      <c r="J79" s="193"/>
      <c r="K79" s="193"/>
      <c r="L79" s="193"/>
      <c r="M79" s="193"/>
      <c r="N79" s="193"/>
      <c r="O79" s="193"/>
      <c r="P79" s="193"/>
    </row>
    <row r="80" spans="1:16">
      <c r="A80" s="31"/>
      <c r="B80" s="31"/>
      <c r="C80" s="31"/>
      <c r="D80" s="31"/>
      <c r="E80" s="31"/>
      <c r="F80" s="31"/>
      <c r="G80" s="31"/>
    </row>
    <row r="81" spans="1:16" s="194" customFormat="1">
      <c r="A81" s="193"/>
      <c r="B81" s="193"/>
      <c r="C81" s="193"/>
      <c r="D81" s="193"/>
      <c r="E81" s="193"/>
      <c r="F81" s="193"/>
      <c r="G81" s="193"/>
      <c r="H81" s="193"/>
      <c r="I81" s="193"/>
      <c r="J81" s="193"/>
      <c r="K81" s="193"/>
      <c r="L81" s="193"/>
      <c r="M81" s="193"/>
      <c r="N81" s="193"/>
      <c r="O81" s="193"/>
      <c r="P81" s="193"/>
    </row>
    <row r="82" spans="1:16">
      <c r="A82" s="31"/>
      <c r="B82" s="31"/>
      <c r="C82" s="31"/>
      <c r="D82" s="31"/>
      <c r="E82" s="31"/>
      <c r="F82" s="31"/>
      <c r="G82" s="31"/>
    </row>
    <row r="83" spans="1:16" s="194" customFormat="1">
      <c r="A83" s="193"/>
      <c r="B83" s="193"/>
      <c r="C83" s="193"/>
      <c r="D83" s="193"/>
      <c r="E83" s="193"/>
      <c r="F83" s="193"/>
      <c r="G83" s="193"/>
      <c r="H83" s="193"/>
      <c r="I83" s="193"/>
      <c r="J83" s="193"/>
      <c r="K83" s="193"/>
      <c r="L83" s="193"/>
      <c r="M83" s="193"/>
      <c r="N83" s="193"/>
      <c r="O83" s="193"/>
      <c r="P83" s="193"/>
    </row>
    <row r="84" spans="1:16">
      <c r="A84" s="31"/>
      <c r="B84" s="31"/>
      <c r="C84" s="31"/>
      <c r="D84" s="31"/>
      <c r="E84" s="31"/>
      <c r="F84" s="31"/>
      <c r="G84" s="31"/>
    </row>
    <row r="85" spans="1:16" s="194" customFormat="1">
      <c r="A85" s="193"/>
      <c r="B85" s="193"/>
      <c r="C85" s="193"/>
      <c r="D85" s="193"/>
      <c r="E85" s="193"/>
      <c r="F85" s="193"/>
      <c r="G85" s="193"/>
      <c r="H85" s="193"/>
      <c r="I85" s="193"/>
      <c r="J85" s="193"/>
      <c r="K85" s="193"/>
      <c r="L85" s="193"/>
      <c r="M85" s="193"/>
      <c r="N85" s="193"/>
      <c r="O85" s="193"/>
      <c r="P85" s="193"/>
    </row>
    <row r="86" spans="1:16">
      <c r="A86" s="31"/>
      <c r="B86" s="31"/>
      <c r="C86" s="31"/>
      <c r="D86" s="31"/>
      <c r="E86" s="31"/>
      <c r="F86" s="31"/>
      <c r="G86" s="31"/>
    </row>
    <row r="87" spans="1:16" s="194" customFormat="1">
      <c r="A87" s="193"/>
      <c r="B87" s="193"/>
      <c r="C87" s="193"/>
      <c r="D87" s="193"/>
      <c r="E87" s="193"/>
      <c r="F87" s="193"/>
      <c r="G87" s="193"/>
      <c r="H87" s="193"/>
      <c r="I87" s="193"/>
      <c r="J87" s="193"/>
      <c r="K87" s="193"/>
      <c r="L87" s="193"/>
      <c r="M87" s="193"/>
      <c r="N87" s="193"/>
      <c r="O87" s="193"/>
      <c r="P87" s="193"/>
    </row>
    <row r="88" spans="1:16">
      <c r="A88" s="31"/>
      <c r="B88" s="31"/>
      <c r="C88" s="31"/>
      <c r="D88" s="31"/>
      <c r="E88" s="31"/>
      <c r="F88" s="31"/>
      <c r="G88" s="31"/>
    </row>
    <row r="89" spans="1:16" s="194" customFormat="1">
      <c r="A89" s="193"/>
      <c r="B89" s="193"/>
      <c r="C89" s="193"/>
      <c r="D89" s="193"/>
      <c r="E89" s="193"/>
      <c r="F89" s="193"/>
      <c r="G89" s="193"/>
      <c r="H89" s="193"/>
      <c r="I89" s="193"/>
      <c r="J89" s="193"/>
      <c r="K89" s="193"/>
      <c r="L89" s="193"/>
      <c r="M89" s="193"/>
      <c r="N89" s="193"/>
      <c r="O89" s="193"/>
      <c r="P89" s="193"/>
    </row>
    <row r="90" spans="1:16" s="194" customFormat="1">
      <c r="A90" s="193"/>
      <c r="B90" s="193"/>
      <c r="C90" s="193"/>
      <c r="D90" s="193"/>
      <c r="E90" s="193"/>
      <c r="F90" s="193"/>
      <c r="G90" s="193"/>
      <c r="H90" s="193"/>
      <c r="I90" s="193"/>
      <c r="J90" s="193"/>
      <c r="K90" s="193"/>
      <c r="L90" s="193"/>
      <c r="M90" s="193"/>
      <c r="N90" s="193"/>
      <c r="O90" s="193"/>
      <c r="P90" s="193"/>
    </row>
    <row r="91" spans="1:16">
      <c r="A91" s="31"/>
      <c r="B91" s="31"/>
      <c r="C91" s="31"/>
      <c r="D91" s="31"/>
      <c r="E91" s="31"/>
      <c r="F91" s="31"/>
      <c r="G91" s="31"/>
    </row>
    <row r="92" spans="1:16" s="194" customFormat="1">
      <c r="A92" s="193"/>
      <c r="B92" s="193"/>
      <c r="C92" s="193"/>
      <c r="D92" s="193"/>
      <c r="E92" s="193"/>
      <c r="F92" s="193"/>
      <c r="G92" s="193"/>
      <c r="H92" s="193"/>
      <c r="I92" s="193"/>
      <c r="J92" s="193"/>
      <c r="K92" s="193"/>
      <c r="L92" s="193"/>
      <c r="M92" s="193"/>
      <c r="N92" s="193"/>
      <c r="O92" s="193"/>
      <c r="P92" s="193"/>
    </row>
    <row r="93" spans="1:16">
      <c r="A93" s="31"/>
      <c r="B93" s="31"/>
      <c r="C93" s="31"/>
      <c r="D93" s="31"/>
      <c r="E93" s="31"/>
      <c r="F93" s="31"/>
      <c r="G93" s="31"/>
    </row>
    <row r="94" spans="1:16" s="194" customFormat="1">
      <c r="A94" s="193"/>
      <c r="B94" s="193"/>
      <c r="C94" s="193"/>
      <c r="D94" s="193"/>
      <c r="E94" s="193"/>
      <c r="F94" s="193"/>
      <c r="G94" s="193"/>
      <c r="H94" s="193"/>
      <c r="I94" s="193"/>
      <c r="J94" s="193"/>
      <c r="K94" s="193"/>
      <c r="L94" s="193"/>
      <c r="M94" s="193"/>
      <c r="N94" s="193"/>
      <c r="O94" s="193"/>
      <c r="P94" s="193"/>
    </row>
    <row r="95" spans="1:16">
      <c r="A95" s="31"/>
      <c r="B95" s="31"/>
      <c r="C95" s="31"/>
      <c r="D95" s="31"/>
      <c r="E95" s="31"/>
      <c r="F95" s="31"/>
      <c r="G95" s="31"/>
    </row>
    <row r="96" spans="1:16" s="194" customFormat="1">
      <c r="A96" s="193"/>
      <c r="B96" s="193"/>
      <c r="C96" s="193"/>
      <c r="D96" s="193"/>
      <c r="E96" s="193"/>
      <c r="F96" s="193"/>
      <c r="G96" s="193"/>
      <c r="H96" s="193"/>
      <c r="I96" s="193"/>
      <c r="J96" s="193"/>
      <c r="K96" s="193"/>
      <c r="L96" s="193"/>
      <c r="M96" s="193"/>
      <c r="N96" s="193"/>
      <c r="O96" s="193"/>
      <c r="P96" s="193"/>
    </row>
    <row r="97" spans="1:16">
      <c r="A97" s="31"/>
      <c r="B97" s="31"/>
      <c r="C97" s="31"/>
      <c r="D97" s="31"/>
      <c r="E97" s="31"/>
      <c r="F97" s="31"/>
      <c r="G97" s="31"/>
    </row>
    <row r="98" spans="1:16" s="194" customFormat="1">
      <c r="A98" s="193"/>
      <c r="B98" s="193"/>
      <c r="C98" s="193"/>
      <c r="D98" s="193"/>
      <c r="E98" s="193"/>
      <c r="F98" s="193"/>
      <c r="G98" s="193"/>
      <c r="H98" s="193"/>
      <c r="I98" s="193"/>
      <c r="J98" s="193"/>
      <c r="K98" s="193"/>
      <c r="L98" s="193"/>
      <c r="M98" s="193"/>
      <c r="N98" s="193"/>
      <c r="O98" s="193"/>
      <c r="P98" s="193"/>
    </row>
    <row r="99" spans="1:16">
      <c r="A99" s="31"/>
      <c r="B99" s="31"/>
      <c r="C99" s="31"/>
      <c r="D99" s="31"/>
      <c r="E99" s="31"/>
      <c r="F99" s="31"/>
      <c r="G99" s="31"/>
    </row>
    <row r="100" spans="1:16" s="194" customFormat="1">
      <c r="A100" s="193"/>
      <c r="B100" s="193"/>
      <c r="C100" s="193"/>
      <c r="D100" s="193"/>
      <c r="E100" s="193"/>
      <c r="F100" s="193"/>
      <c r="G100" s="193"/>
      <c r="H100" s="193"/>
      <c r="I100" s="193"/>
      <c r="J100" s="193"/>
      <c r="K100" s="193"/>
      <c r="L100" s="193"/>
      <c r="M100" s="193"/>
      <c r="N100" s="193"/>
      <c r="O100" s="193"/>
      <c r="P100" s="193"/>
    </row>
    <row r="101" spans="1:16" s="194" customFormat="1">
      <c r="A101" s="193"/>
      <c r="B101" s="193"/>
      <c r="C101" s="193"/>
      <c r="D101" s="193"/>
      <c r="E101" s="193"/>
      <c r="F101" s="193"/>
      <c r="G101" s="193"/>
      <c r="H101" s="193"/>
      <c r="I101" s="193"/>
      <c r="J101" s="193"/>
      <c r="K101" s="193"/>
      <c r="L101" s="193"/>
      <c r="M101" s="193"/>
      <c r="N101" s="193"/>
      <c r="O101" s="193"/>
      <c r="P101" s="193"/>
    </row>
    <row r="102" spans="1:16">
      <c r="A102" s="31"/>
      <c r="B102" s="31"/>
      <c r="C102" s="31"/>
      <c r="D102" s="31"/>
      <c r="E102" s="31"/>
      <c r="F102" s="31"/>
      <c r="G102" s="31"/>
    </row>
    <row r="103" spans="1:16" s="194" customFormat="1">
      <c r="A103" s="193"/>
      <c r="B103" s="193"/>
      <c r="C103" s="193"/>
      <c r="D103" s="193"/>
      <c r="E103" s="193"/>
      <c r="F103" s="193"/>
      <c r="G103" s="193"/>
      <c r="H103" s="193"/>
      <c r="I103" s="193"/>
      <c r="J103" s="193"/>
      <c r="K103" s="193"/>
      <c r="L103" s="193"/>
      <c r="M103" s="193"/>
      <c r="N103" s="193"/>
      <c r="O103" s="193"/>
      <c r="P103" s="193"/>
    </row>
    <row r="104" spans="1:16">
      <c r="A104" s="31"/>
      <c r="B104" s="31"/>
      <c r="C104" s="31"/>
      <c r="D104" s="31"/>
      <c r="E104" s="31"/>
      <c r="F104" s="31"/>
      <c r="G104" s="31"/>
    </row>
    <row r="105" spans="1:16" s="194" customFormat="1">
      <c r="A105" s="193"/>
      <c r="B105" s="193"/>
      <c r="C105" s="193"/>
      <c r="D105" s="193"/>
      <c r="E105" s="193"/>
      <c r="F105" s="193"/>
      <c r="G105" s="193"/>
      <c r="H105" s="193"/>
      <c r="I105" s="193"/>
      <c r="J105" s="193"/>
      <c r="K105" s="193"/>
      <c r="L105" s="193"/>
      <c r="M105" s="193"/>
      <c r="N105" s="193"/>
      <c r="O105" s="193"/>
      <c r="P105" s="193"/>
    </row>
    <row r="106" spans="1:16">
      <c r="A106" s="31"/>
      <c r="B106" s="31"/>
      <c r="C106" s="31"/>
      <c r="D106" s="31"/>
      <c r="E106" s="31"/>
      <c r="F106" s="31"/>
      <c r="G106" s="31"/>
    </row>
    <row r="107" spans="1:16" s="194" customFormat="1">
      <c r="A107" s="193"/>
      <c r="B107" s="193"/>
      <c r="C107" s="193"/>
      <c r="D107" s="193"/>
      <c r="E107" s="193"/>
      <c r="F107" s="193"/>
      <c r="G107" s="193"/>
      <c r="H107" s="193"/>
      <c r="I107" s="193"/>
      <c r="J107" s="193"/>
      <c r="K107" s="193"/>
      <c r="L107" s="193"/>
      <c r="M107" s="193"/>
      <c r="N107" s="193"/>
      <c r="O107" s="193"/>
      <c r="P107" s="193"/>
    </row>
    <row r="108" spans="1:16">
      <c r="A108" s="31"/>
      <c r="B108" s="31"/>
      <c r="C108" s="31"/>
      <c r="D108" s="31"/>
      <c r="E108" s="31"/>
      <c r="F108" s="31"/>
      <c r="G108" s="31"/>
    </row>
    <row r="109" spans="1:16" s="194" customFormat="1">
      <c r="A109" s="193"/>
      <c r="B109" s="193"/>
      <c r="C109" s="193"/>
      <c r="D109" s="193"/>
      <c r="E109" s="193"/>
      <c r="F109" s="193"/>
      <c r="G109" s="193"/>
      <c r="H109" s="193"/>
      <c r="I109" s="193"/>
      <c r="J109" s="193"/>
      <c r="K109" s="193"/>
      <c r="L109" s="193"/>
      <c r="M109" s="193"/>
      <c r="N109" s="193"/>
      <c r="O109" s="193"/>
      <c r="P109" s="193"/>
    </row>
    <row r="110" spans="1:16">
      <c r="A110" s="31"/>
      <c r="B110" s="31"/>
      <c r="C110" s="31"/>
      <c r="D110" s="31"/>
      <c r="E110" s="31"/>
      <c r="F110" s="31"/>
      <c r="G110" s="31"/>
    </row>
    <row r="111" spans="1:16" s="194" customFormat="1">
      <c r="A111" s="193"/>
      <c r="B111" s="193"/>
      <c r="C111" s="193"/>
      <c r="D111" s="193"/>
      <c r="E111" s="193"/>
      <c r="F111" s="193"/>
      <c r="G111" s="193"/>
      <c r="H111" s="193"/>
      <c r="I111" s="193"/>
      <c r="J111" s="193"/>
      <c r="K111" s="193"/>
      <c r="L111" s="193"/>
      <c r="M111" s="193"/>
      <c r="N111" s="193"/>
      <c r="O111" s="193"/>
      <c r="P111" s="193"/>
    </row>
    <row r="112" spans="1:16" s="194" customFormat="1">
      <c r="A112" s="193"/>
      <c r="B112" s="193"/>
      <c r="C112" s="193"/>
      <c r="D112" s="193"/>
      <c r="E112" s="193"/>
      <c r="F112" s="193"/>
      <c r="G112" s="193"/>
      <c r="H112" s="193"/>
      <c r="I112" s="193"/>
      <c r="J112" s="193"/>
      <c r="K112" s="193"/>
      <c r="L112" s="193"/>
      <c r="M112" s="193"/>
      <c r="N112" s="193"/>
      <c r="O112" s="193"/>
      <c r="P112" s="193"/>
    </row>
    <row r="113" spans="1:16">
      <c r="A113" s="31"/>
      <c r="B113" s="31"/>
      <c r="C113" s="31"/>
      <c r="D113" s="31"/>
      <c r="E113" s="31"/>
      <c r="F113" s="31"/>
      <c r="G113" s="31"/>
    </row>
    <row r="114" spans="1:16" s="194" customFormat="1">
      <c r="A114" s="193"/>
      <c r="B114" s="193"/>
      <c r="C114" s="193"/>
      <c r="D114" s="193"/>
      <c r="E114" s="193"/>
      <c r="F114" s="193"/>
      <c r="G114" s="193"/>
      <c r="H114" s="193"/>
      <c r="I114" s="193"/>
      <c r="J114" s="193"/>
      <c r="K114" s="193"/>
      <c r="L114" s="193"/>
      <c r="M114" s="193"/>
      <c r="N114" s="193"/>
      <c r="O114" s="193"/>
      <c r="P114" s="193"/>
    </row>
    <row r="115" spans="1:16">
      <c r="A115" s="31"/>
      <c r="B115" s="31"/>
      <c r="C115" s="31"/>
      <c r="D115" s="31"/>
      <c r="E115" s="31"/>
      <c r="F115" s="31"/>
      <c r="G115" s="31"/>
    </row>
    <row r="116" spans="1:16" s="194" customFormat="1">
      <c r="A116" s="193"/>
      <c r="B116" s="193"/>
      <c r="C116" s="193"/>
      <c r="D116" s="193"/>
      <c r="E116" s="193"/>
      <c r="F116" s="193"/>
      <c r="G116" s="193"/>
      <c r="H116" s="193"/>
      <c r="I116" s="193"/>
      <c r="J116" s="193"/>
      <c r="K116" s="193"/>
      <c r="L116" s="193"/>
      <c r="M116" s="193"/>
      <c r="N116" s="193"/>
      <c r="O116" s="193"/>
      <c r="P116" s="193"/>
    </row>
    <row r="117" spans="1:16">
      <c r="A117" s="31"/>
      <c r="B117" s="31"/>
      <c r="C117" s="31"/>
      <c r="D117" s="31"/>
      <c r="E117" s="31"/>
      <c r="F117" s="31"/>
      <c r="G117" s="31"/>
    </row>
    <row r="118" spans="1:16" s="194" customFormat="1">
      <c r="A118" s="193"/>
      <c r="B118" s="193"/>
      <c r="C118" s="193"/>
      <c r="D118" s="193"/>
      <c r="E118" s="193"/>
      <c r="F118" s="193"/>
      <c r="G118" s="193"/>
      <c r="H118" s="193"/>
      <c r="I118" s="193"/>
      <c r="J118" s="193"/>
      <c r="K118" s="193"/>
      <c r="L118" s="193"/>
      <c r="M118" s="193"/>
      <c r="N118" s="193"/>
      <c r="O118" s="193"/>
      <c r="P118" s="193"/>
    </row>
    <row r="119" spans="1:16">
      <c r="A119" s="31"/>
      <c r="B119" s="31"/>
      <c r="C119" s="31"/>
      <c r="D119" s="31"/>
      <c r="E119" s="31"/>
      <c r="F119" s="31"/>
      <c r="G119" s="31"/>
    </row>
    <row r="120" spans="1:16" s="194" customFormat="1">
      <c r="A120" s="193"/>
      <c r="B120" s="193"/>
      <c r="C120" s="193"/>
      <c r="D120" s="193"/>
      <c r="E120" s="193"/>
      <c r="F120" s="193"/>
      <c r="G120" s="193"/>
      <c r="H120" s="193"/>
      <c r="I120" s="193"/>
      <c r="J120" s="193"/>
      <c r="K120" s="193"/>
      <c r="L120" s="193"/>
      <c r="M120" s="193"/>
      <c r="N120" s="193"/>
      <c r="O120" s="193"/>
      <c r="P120" s="193"/>
    </row>
    <row r="121" spans="1:16">
      <c r="A121" s="31"/>
      <c r="B121" s="31"/>
      <c r="C121" s="31"/>
      <c r="D121" s="31"/>
      <c r="E121" s="31"/>
      <c r="F121" s="31"/>
      <c r="G121" s="31"/>
    </row>
    <row r="122" spans="1:16" s="194" customFormat="1">
      <c r="A122" s="193"/>
      <c r="B122" s="193"/>
      <c r="C122" s="193"/>
      <c r="D122" s="193"/>
      <c r="E122" s="193"/>
      <c r="F122" s="193"/>
      <c r="G122" s="193"/>
      <c r="H122" s="193"/>
      <c r="I122" s="193"/>
      <c r="J122" s="193"/>
      <c r="K122" s="193"/>
      <c r="L122" s="193"/>
      <c r="M122" s="193"/>
      <c r="N122" s="193"/>
      <c r="O122" s="193"/>
      <c r="P122" s="193"/>
    </row>
    <row r="123" spans="1:16" s="194" customFormat="1">
      <c r="A123" s="193"/>
      <c r="B123" s="193"/>
      <c r="C123" s="193"/>
      <c r="D123" s="193"/>
      <c r="E123" s="193"/>
      <c r="F123" s="193"/>
      <c r="G123" s="193"/>
      <c r="H123" s="193"/>
      <c r="I123" s="193"/>
      <c r="J123" s="193"/>
      <c r="K123" s="193"/>
      <c r="L123" s="193"/>
      <c r="M123" s="193"/>
      <c r="N123" s="193"/>
      <c r="O123" s="193"/>
      <c r="P123" s="193"/>
    </row>
    <row r="124" spans="1:16">
      <c r="A124" s="31"/>
      <c r="B124" s="31"/>
      <c r="C124" s="31"/>
      <c r="D124" s="31"/>
      <c r="E124" s="31"/>
      <c r="F124" s="31"/>
      <c r="G124" s="31"/>
    </row>
    <row r="125" spans="1:16" s="194" customFormat="1">
      <c r="A125" s="193"/>
      <c r="B125" s="193"/>
      <c r="C125" s="193"/>
      <c r="D125" s="193"/>
      <c r="E125" s="193"/>
      <c r="F125" s="193"/>
      <c r="G125" s="193"/>
      <c r="H125" s="193"/>
      <c r="I125" s="193"/>
      <c r="J125" s="193"/>
      <c r="K125" s="193"/>
      <c r="L125" s="193"/>
      <c r="M125" s="193"/>
      <c r="N125" s="193"/>
      <c r="O125" s="193"/>
      <c r="P125" s="193"/>
    </row>
    <row r="126" spans="1:16">
      <c r="A126" s="31"/>
      <c r="B126" s="31"/>
      <c r="C126" s="31"/>
      <c r="D126" s="31"/>
      <c r="E126" s="31"/>
      <c r="F126" s="31"/>
      <c r="G126" s="31"/>
    </row>
    <row r="127" spans="1:16" s="194" customFormat="1">
      <c r="A127" s="193"/>
      <c r="B127" s="193"/>
      <c r="C127" s="193"/>
      <c r="D127" s="193"/>
      <c r="E127" s="193"/>
      <c r="F127" s="193"/>
      <c r="G127" s="193"/>
      <c r="H127" s="193"/>
      <c r="I127" s="193"/>
      <c r="J127" s="193"/>
      <c r="K127" s="193"/>
      <c r="L127" s="193"/>
      <c r="M127" s="193"/>
      <c r="N127" s="193"/>
      <c r="O127" s="193"/>
      <c r="P127" s="193"/>
    </row>
    <row r="128" spans="1:16">
      <c r="A128" s="31"/>
      <c r="B128" s="31"/>
      <c r="C128" s="31"/>
      <c r="D128" s="31"/>
      <c r="E128" s="31"/>
      <c r="F128" s="31"/>
      <c r="G128" s="31"/>
    </row>
    <row r="129" spans="1:16" s="194" customFormat="1">
      <c r="A129" s="193"/>
      <c r="B129" s="193"/>
      <c r="C129" s="193"/>
      <c r="D129" s="193"/>
      <c r="E129" s="193"/>
      <c r="F129" s="193"/>
      <c r="G129" s="193"/>
      <c r="H129" s="193"/>
      <c r="I129" s="193"/>
      <c r="J129" s="193"/>
      <c r="K129" s="193"/>
      <c r="L129" s="193"/>
      <c r="M129" s="193"/>
      <c r="N129" s="193"/>
      <c r="O129" s="193"/>
      <c r="P129" s="193"/>
    </row>
    <row r="130" spans="1:16">
      <c r="A130" s="31"/>
      <c r="B130" s="31"/>
      <c r="C130" s="31"/>
      <c r="D130" s="31"/>
      <c r="E130" s="31"/>
      <c r="F130" s="31"/>
      <c r="G130" s="31"/>
    </row>
    <row r="131" spans="1:16" s="194" customFormat="1">
      <c r="A131" s="193"/>
      <c r="B131" s="193"/>
      <c r="C131" s="193"/>
      <c r="D131" s="193"/>
      <c r="E131" s="193"/>
      <c r="F131" s="193"/>
      <c r="G131" s="193"/>
      <c r="H131" s="193"/>
      <c r="I131" s="193"/>
      <c r="J131" s="193"/>
      <c r="K131" s="193"/>
      <c r="L131" s="193"/>
      <c r="M131" s="193"/>
      <c r="N131" s="193"/>
      <c r="O131" s="193"/>
      <c r="P131" s="193"/>
    </row>
    <row r="132" spans="1:16">
      <c r="A132" s="31"/>
      <c r="B132" s="31"/>
      <c r="C132" s="31"/>
      <c r="D132" s="31"/>
      <c r="E132" s="31"/>
      <c r="F132" s="31"/>
      <c r="G132" s="31"/>
    </row>
    <row r="133" spans="1:16" s="194" customFormat="1">
      <c r="A133" s="193"/>
      <c r="B133" s="193"/>
      <c r="C133" s="193"/>
      <c r="D133" s="193"/>
      <c r="E133" s="193"/>
      <c r="F133" s="193"/>
      <c r="G133" s="193"/>
      <c r="H133" s="193"/>
      <c r="I133" s="193"/>
      <c r="J133" s="193"/>
      <c r="K133" s="193"/>
      <c r="L133" s="193"/>
      <c r="M133" s="193"/>
      <c r="N133" s="193"/>
      <c r="O133" s="193"/>
      <c r="P133" s="193"/>
    </row>
    <row r="134" spans="1:16" s="194" customFormat="1">
      <c r="A134" s="193"/>
      <c r="B134" s="193"/>
      <c r="C134" s="193"/>
      <c r="D134" s="193"/>
      <c r="E134" s="193"/>
      <c r="F134" s="193"/>
      <c r="G134" s="193"/>
      <c r="H134" s="193"/>
      <c r="I134" s="193"/>
      <c r="J134" s="193"/>
      <c r="K134" s="193"/>
      <c r="L134" s="193"/>
      <c r="M134" s="193"/>
      <c r="N134" s="193"/>
      <c r="O134" s="193"/>
      <c r="P134" s="193"/>
    </row>
    <row r="135" spans="1:16">
      <c r="A135" s="31"/>
      <c r="B135" s="31"/>
      <c r="C135" s="31"/>
      <c r="D135" s="31"/>
      <c r="E135" s="31"/>
      <c r="F135" s="31"/>
      <c r="G135" s="31"/>
    </row>
    <row r="136" spans="1:16" s="194" customFormat="1">
      <c r="A136" s="193"/>
      <c r="B136" s="193"/>
      <c r="C136" s="193"/>
      <c r="D136" s="193"/>
      <c r="E136" s="193"/>
      <c r="F136" s="193"/>
      <c r="G136" s="193"/>
      <c r="H136" s="193"/>
      <c r="I136" s="193"/>
      <c r="J136" s="193"/>
      <c r="K136" s="193"/>
      <c r="L136" s="193"/>
      <c r="M136" s="193"/>
      <c r="N136" s="193"/>
      <c r="O136" s="193"/>
      <c r="P136" s="193"/>
    </row>
    <row r="137" spans="1:16">
      <c r="A137" s="31"/>
      <c r="B137" s="31"/>
      <c r="C137" s="31"/>
      <c r="D137" s="31"/>
      <c r="E137" s="31"/>
      <c r="F137" s="31"/>
      <c r="G137" s="31"/>
    </row>
    <row r="138" spans="1:16" s="194" customFormat="1">
      <c r="A138" s="193"/>
      <c r="B138" s="193"/>
      <c r="C138" s="193"/>
      <c r="D138" s="193"/>
      <c r="E138" s="193"/>
      <c r="F138" s="193"/>
      <c r="G138" s="193"/>
      <c r="H138" s="193"/>
      <c r="I138" s="193"/>
      <c r="J138" s="193"/>
      <c r="K138" s="193"/>
      <c r="L138" s="193"/>
      <c r="M138" s="193"/>
      <c r="N138" s="193"/>
      <c r="O138" s="193"/>
      <c r="P138" s="193"/>
    </row>
    <row r="139" spans="1:16">
      <c r="A139" s="31"/>
      <c r="B139" s="31"/>
      <c r="C139" s="31"/>
      <c r="D139" s="31"/>
      <c r="E139" s="31"/>
      <c r="F139" s="31"/>
      <c r="G139" s="31"/>
    </row>
    <row r="140" spans="1:16" s="194" customFormat="1">
      <c r="A140" s="193"/>
      <c r="B140" s="193"/>
      <c r="C140" s="193"/>
      <c r="D140" s="193"/>
      <c r="E140" s="193"/>
      <c r="F140" s="193"/>
      <c r="G140" s="193"/>
      <c r="H140" s="193"/>
      <c r="I140" s="193"/>
      <c r="J140" s="193"/>
      <c r="K140" s="193"/>
      <c r="L140" s="193"/>
      <c r="M140" s="193"/>
      <c r="N140" s="193"/>
      <c r="O140" s="193"/>
      <c r="P140" s="193"/>
    </row>
    <row r="141" spans="1:16">
      <c r="A141" s="31"/>
      <c r="B141" s="31"/>
      <c r="C141" s="31"/>
      <c r="D141" s="31"/>
      <c r="E141" s="31"/>
      <c r="F141" s="31"/>
      <c r="G141" s="31"/>
    </row>
    <row r="142" spans="1:16" s="194" customFormat="1">
      <c r="A142" s="193"/>
      <c r="B142" s="193"/>
      <c r="C142" s="193"/>
      <c r="D142" s="193"/>
      <c r="E142" s="193"/>
      <c r="F142" s="193"/>
      <c r="G142" s="193"/>
      <c r="H142" s="193"/>
      <c r="I142" s="193"/>
      <c r="J142" s="193"/>
      <c r="K142" s="193"/>
      <c r="L142" s="193"/>
      <c r="M142" s="193"/>
      <c r="N142" s="193"/>
      <c r="O142" s="193"/>
      <c r="P142" s="193"/>
    </row>
    <row r="143" spans="1:16">
      <c r="A143" s="31"/>
      <c r="B143" s="31"/>
      <c r="C143" s="31"/>
      <c r="D143" s="31"/>
      <c r="E143" s="31"/>
      <c r="F143" s="31"/>
      <c r="G143" s="31"/>
    </row>
    <row r="144" spans="1:16" s="194" customFormat="1">
      <c r="A144" s="193"/>
      <c r="B144" s="193"/>
      <c r="C144" s="193"/>
      <c r="D144" s="193"/>
      <c r="E144" s="193"/>
      <c r="F144" s="193"/>
      <c r="G144" s="193"/>
      <c r="H144" s="193"/>
      <c r="I144" s="193"/>
      <c r="J144" s="193"/>
      <c r="K144" s="193"/>
      <c r="L144" s="193"/>
      <c r="M144" s="193"/>
      <c r="N144" s="193"/>
      <c r="O144" s="193"/>
      <c r="P144" s="193"/>
    </row>
    <row r="145" spans="1:16" s="194" customFormat="1">
      <c r="A145" s="193"/>
      <c r="B145" s="193"/>
      <c r="C145" s="193"/>
      <c r="D145" s="193"/>
      <c r="E145" s="193"/>
      <c r="F145" s="193"/>
      <c r="G145" s="193"/>
      <c r="H145" s="193"/>
      <c r="I145" s="193"/>
      <c r="J145" s="193"/>
      <c r="K145" s="193"/>
      <c r="L145" s="193"/>
      <c r="M145" s="193"/>
      <c r="N145" s="193"/>
      <c r="O145" s="193"/>
      <c r="P145" s="193"/>
    </row>
    <row r="146" spans="1:16">
      <c r="A146" s="31"/>
      <c r="B146" s="31"/>
      <c r="C146" s="31"/>
      <c r="D146" s="31"/>
      <c r="E146" s="31"/>
      <c r="F146" s="31"/>
      <c r="G146" s="31"/>
    </row>
    <row r="147" spans="1:16" s="194" customFormat="1">
      <c r="A147" s="193"/>
      <c r="B147" s="193"/>
      <c r="C147" s="193"/>
      <c r="D147" s="193"/>
      <c r="E147" s="193"/>
      <c r="F147" s="193"/>
      <c r="G147" s="193"/>
      <c r="H147" s="193"/>
      <c r="I147" s="193"/>
      <c r="J147" s="193"/>
      <c r="K147" s="193"/>
      <c r="L147" s="193"/>
      <c r="M147" s="193"/>
      <c r="N147" s="193"/>
      <c r="O147" s="193"/>
      <c r="P147" s="193"/>
    </row>
    <row r="148" spans="1:16">
      <c r="A148" s="31"/>
      <c r="B148" s="31"/>
      <c r="C148" s="31"/>
      <c r="D148" s="31"/>
      <c r="E148" s="31"/>
      <c r="F148" s="31"/>
      <c r="G148" s="31"/>
    </row>
    <row r="149" spans="1:16" s="194" customFormat="1">
      <c r="A149" s="193"/>
      <c r="B149" s="193"/>
      <c r="C149" s="193"/>
      <c r="D149" s="193"/>
      <c r="E149" s="193"/>
      <c r="F149" s="193"/>
      <c r="G149" s="193"/>
      <c r="H149" s="193"/>
      <c r="I149" s="193"/>
      <c r="J149" s="193"/>
      <c r="K149" s="193"/>
      <c r="L149" s="193"/>
      <c r="M149" s="193"/>
      <c r="N149" s="193"/>
      <c r="O149" s="193"/>
      <c r="P149" s="193"/>
    </row>
    <row r="150" spans="1:16">
      <c r="A150" s="31"/>
      <c r="B150" s="31"/>
      <c r="C150" s="31"/>
      <c r="D150" s="31"/>
      <c r="E150" s="31"/>
      <c r="F150" s="31"/>
      <c r="G150" s="31"/>
    </row>
    <row r="151" spans="1:16" s="194" customFormat="1">
      <c r="A151" s="193"/>
      <c r="B151" s="193"/>
      <c r="C151" s="193"/>
      <c r="D151" s="193"/>
      <c r="E151" s="193"/>
      <c r="F151" s="193"/>
      <c r="G151" s="193"/>
      <c r="H151" s="193"/>
      <c r="I151" s="193"/>
      <c r="J151" s="193"/>
      <c r="K151" s="193"/>
      <c r="L151" s="193"/>
      <c r="M151" s="193"/>
      <c r="N151" s="193"/>
      <c r="O151" s="193"/>
      <c r="P151" s="193"/>
    </row>
    <row r="152" spans="1:16">
      <c r="A152" s="31"/>
      <c r="B152" s="31"/>
      <c r="C152" s="31"/>
      <c r="D152" s="31"/>
      <c r="E152" s="31"/>
      <c r="F152" s="31"/>
      <c r="G152" s="31"/>
    </row>
    <row r="153" spans="1:16" s="194" customFormat="1">
      <c r="A153" s="193"/>
      <c r="B153" s="193"/>
      <c r="C153" s="193"/>
      <c r="D153" s="193"/>
      <c r="E153" s="193"/>
      <c r="F153" s="193"/>
      <c r="G153" s="193"/>
      <c r="H153" s="193"/>
      <c r="I153" s="193"/>
      <c r="J153" s="193"/>
      <c r="K153" s="193"/>
      <c r="L153" s="193"/>
      <c r="M153" s="193"/>
      <c r="N153" s="193"/>
      <c r="O153" s="193"/>
      <c r="P153" s="193"/>
    </row>
    <row r="154" spans="1:16">
      <c r="A154" s="31"/>
      <c r="B154" s="31"/>
      <c r="C154" s="31"/>
      <c r="D154" s="31"/>
      <c r="E154" s="31"/>
      <c r="F154" s="31"/>
      <c r="G154" s="31"/>
    </row>
    <row r="155" spans="1:16" s="194" customFormat="1">
      <c r="A155" s="193"/>
      <c r="B155" s="193"/>
      <c r="C155" s="193"/>
      <c r="D155" s="193"/>
      <c r="E155" s="193"/>
      <c r="F155" s="193"/>
      <c r="G155" s="193"/>
      <c r="H155" s="193"/>
      <c r="I155" s="193"/>
      <c r="J155" s="193"/>
      <c r="K155" s="193"/>
      <c r="L155" s="193"/>
      <c r="M155" s="193"/>
      <c r="N155" s="193"/>
      <c r="O155" s="193"/>
      <c r="P155" s="193"/>
    </row>
    <row r="156" spans="1:16" s="194" customFormat="1">
      <c r="A156" s="193"/>
      <c r="B156" s="193"/>
      <c r="C156" s="193"/>
      <c r="D156" s="193"/>
      <c r="E156" s="193"/>
      <c r="F156" s="193"/>
      <c r="G156" s="193"/>
      <c r="H156" s="193"/>
      <c r="I156" s="193"/>
      <c r="J156" s="193"/>
      <c r="K156" s="193"/>
      <c r="L156" s="193"/>
      <c r="M156" s="193"/>
      <c r="N156" s="193"/>
      <c r="O156" s="193"/>
      <c r="P156" s="193"/>
    </row>
    <row r="157" spans="1:16">
      <c r="A157" s="31"/>
      <c r="B157" s="31"/>
      <c r="C157" s="31"/>
      <c r="D157" s="31"/>
      <c r="E157" s="31"/>
      <c r="F157" s="31"/>
      <c r="G157" s="31"/>
    </row>
    <row r="158" spans="1:16" s="194" customFormat="1">
      <c r="A158" s="193"/>
      <c r="B158" s="193"/>
      <c r="C158" s="193"/>
      <c r="D158" s="193"/>
      <c r="E158" s="193"/>
      <c r="F158" s="193"/>
      <c r="G158" s="193"/>
      <c r="H158" s="193"/>
      <c r="I158" s="193"/>
      <c r="J158" s="193"/>
      <c r="K158" s="193"/>
      <c r="L158" s="193"/>
      <c r="M158" s="193"/>
      <c r="N158" s="193"/>
      <c r="O158" s="193"/>
      <c r="P158" s="193"/>
    </row>
    <row r="159" spans="1:16">
      <c r="A159" s="31"/>
      <c r="B159" s="31"/>
      <c r="C159" s="31"/>
      <c r="D159" s="31"/>
      <c r="E159" s="31"/>
      <c r="F159" s="31"/>
      <c r="G159" s="31"/>
    </row>
    <row r="160" spans="1:16" s="194" customFormat="1">
      <c r="A160" s="193"/>
      <c r="B160" s="193"/>
      <c r="C160" s="193"/>
      <c r="D160" s="193"/>
      <c r="E160" s="193"/>
      <c r="F160" s="193"/>
      <c r="G160" s="193"/>
      <c r="H160" s="193"/>
      <c r="I160" s="193"/>
      <c r="J160" s="193"/>
      <c r="K160" s="193"/>
      <c r="L160" s="193"/>
      <c r="M160" s="193"/>
      <c r="N160" s="193"/>
      <c r="O160" s="193"/>
      <c r="P160" s="193"/>
    </row>
    <row r="161" spans="1:16">
      <c r="A161" s="31"/>
      <c r="B161" s="31"/>
      <c r="C161" s="31"/>
      <c r="D161" s="31"/>
      <c r="E161" s="31"/>
      <c r="F161" s="31"/>
      <c r="G161" s="31"/>
    </row>
    <row r="162" spans="1:16" s="194" customFormat="1">
      <c r="A162" s="193"/>
      <c r="B162" s="193"/>
      <c r="C162" s="193"/>
      <c r="D162" s="193"/>
      <c r="E162" s="193"/>
      <c r="F162" s="193"/>
      <c r="G162" s="193"/>
      <c r="H162" s="193"/>
      <c r="I162" s="193"/>
      <c r="J162" s="193"/>
      <c r="K162" s="193"/>
      <c r="L162" s="193"/>
      <c r="M162" s="193"/>
      <c r="N162" s="193"/>
      <c r="O162" s="193"/>
      <c r="P162" s="193"/>
    </row>
    <row r="163" spans="1:16">
      <c r="A163" s="31"/>
      <c r="B163" s="31"/>
      <c r="C163" s="31"/>
      <c r="D163" s="31"/>
      <c r="E163" s="31"/>
      <c r="F163" s="31"/>
      <c r="G163" s="31"/>
    </row>
    <row r="164" spans="1:16" s="194" customFormat="1">
      <c r="A164" s="193"/>
      <c r="B164" s="193"/>
      <c r="C164" s="193"/>
      <c r="D164" s="193"/>
      <c r="E164" s="193"/>
      <c r="F164" s="193"/>
      <c r="G164" s="193"/>
      <c r="H164" s="193"/>
      <c r="I164" s="193"/>
      <c r="J164" s="193"/>
      <c r="K164" s="193"/>
      <c r="L164" s="193"/>
      <c r="M164" s="193"/>
      <c r="N164" s="193"/>
      <c r="O164" s="193"/>
      <c r="P164" s="193"/>
    </row>
    <row r="165" spans="1:16">
      <c r="A165" s="31"/>
      <c r="B165" s="31"/>
      <c r="C165" s="31"/>
      <c r="D165" s="31"/>
      <c r="E165" s="31"/>
      <c r="F165" s="31"/>
      <c r="G165" s="31"/>
    </row>
    <row r="166" spans="1:16" s="194" customFormat="1">
      <c r="A166" s="193"/>
      <c r="B166" s="193"/>
      <c r="C166" s="193"/>
      <c r="D166" s="193"/>
      <c r="E166" s="193"/>
      <c r="F166" s="193"/>
      <c r="G166" s="193"/>
      <c r="H166" s="193"/>
      <c r="I166" s="193"/>
      <c r="J166" s="193"/>
      <c r="K166" s="193"/>
      <c r="L166" s="193"/>
      <c r="M166" s="193"/>
      <c r="N166" s="193"/>
      <c r="O166" s="193"/>
      <c r="P166" s="193"/>
    </row>
    <row r="167" spans="1:16" s="194" customFormat="1">
      <c r="A167" s="193"/>
      <c r="B167" s="193"/>
      <c r="C167" s="193"/>
      <c r="D167" s="193"/>
      <c r="E167" s="193"/>
      <c r="F167" s="193"/>
      <c r="G167" s="193"/>
      <c r="H167" s="193"/>
      <c r="I167" s="193"/>
      <c r="J167" s="193"/>
      <c r="K167" s="193"/>
      <c r="L167" s="193"/>
      <c r="M167" s="193"/>
      <c r="N167" s="193"/>
      <c r="O167" s="193"/>
      <c r="P167" s="193"/>
    </row>
    <row r="168" spans="1:16">
      <c r="A168" s="31"/>
      <c r="B168" s="31"/>
      <c r="C168" s="31"/>
      <c r="D168" s="31"/>
      <c r="E168" s="31"/>
      <c r="F168" s="31"/>
      <c r="G168" s="31"/>
    </row>
    <row r="169" spans="1:16" s="194" customFormat="1">
      <c r="A169" s="193"/>
      <c r="B169" s="193"/>
      <c r="C169" s="193"/>
      <c r="D169" s="193"/>
      <c r="E169" s="193"/>
      <c r="F169" s="193"/>
      <c r="G169" s="193"/>
      <c r="H169" s="193"/>
      <c r="I169" s="193"/>
      <c r="J169" s="193"/>
      <c r="K169" s="193"/>
      <c r="L169" s="193"/>
      <c r="M169" s="193"/>
      <c r="N169" s="193"/>
      <c r="O169" s="193"/>
      <c r="P169" s="193"/>
    </row>
    <row r="170" spans="1:16">
      <c r="A170" s="31"/>
      <c r="B170" s="31"/>
      <c r="C170" s="31"/>
      <c r="D170" s="31"/>
      <c r="E170" s="31"/>
      <c r="F170" s="31"/>
      <c r="G170" s="31"/>
    </row>
    <row r="171" spans="1:16" s="194" customFormat="1">
      <c r="A171" s="193"/>
      <c r="B171" s="193"/>
      <c r="C171" s="193"/>
      <c r="D171" s="193"/>
      <c r="E171" s="193"/>
      <c r="F171" s="193"/>
      <c r="G171" s="193"/>
      <c r="H171" s="193"/>
      <c r="I171" s="193"/>
      <c r="J171" s="193"/>
      <c r="K171" s="193"/>
      <c r="L171" s="193"/>
      <c r="M171" s="193"/>
      <c r="N171" s="193"/>
      <c r="O171" s="193"/>
      <c r="P171" s="193"/>
    </row>
    <row r="172" spans="1:16">
      <c r="A172" s="31"/>
      <c r="B172" s="31"/>
      <c r="C172" s="31"/>
      <c r="D172" s="31"/>
      <c r="E172" s="31"/>
      <c r="F172" s="31"/>
      <c r="G172" s="31"/>
    </row>
    <row r="173" spans="1:16" s="194" customFormat="1">
      <c r="A173" s="193"/>
      <c r="B173" s="193"/>
      <c r="C173" s="193"/>
      <c r="D173" s="193"/>
      <c r="E173" s="193"/>
      <c r="F173" s="193"/>
      <c r="G173" s="193"/>
      <c r="H173" s="193"/>
      <c r="I173" s="193"/>
      <c r="J173" s="193"/>
      <c r="K173" s="193"/>
      <c r="L173" s="193"/>
      <c r="M173" s="193"/>
      <c r="N173" s="193"/>
      <c r="O173" s="193"/>
      <c r="P173" s="193"/>
    </row>
    <row r="174" spans="1:16">
      <c r="A174" s="31"/>
      <c r="B174" s="31"/>
      <c r="C174" s="31"/>
      <c r="D174" s="31"/>
      <c r="E174" s="31"/>
      <c r="F174" s="31"/>
      <c r="G174" s="31"/>
    </row>
    <row r="175" spans="1:16" s="194" customFormat="1">
      <c r="A175" s="193"/>
      <c r="B175" s="193"/>
      <c r="C175" s="193"/>
      <c r="D175" s="193"/>
      <c r="E175" s="193"/>
      <c r="F175" s="193"/>
      <c r="G175" s="193"/>
      <c r="H175" s="193"/>
      <c r="I175" s="193"/>
      <c r="J175" s="193"/>
      <c r="K175" s="193"/>
      <c r="L175" s="193"/>
      <c r="M175" s="193"/>
      <c r="N175" s="193"/>
      <c r="O175" s="193"/>
      <c r="P175" s="193"/>
    </row>
    <row r="176" spans="1:16">
      <c r="A176" s="31"/>
      <c r="B176" s="31"/>
      <c r="C176" s="31"/>
      <c r="D176" s="31"/>
      <c r="E176" s="31"/>
      <c r="F176" s="31"/>
      <c r="G176" s="31"/>
    </row>
    <row r="177" spans="1:16" s="194" customFormat="1">
      <c r="A177" s="193"/>
      <c r="B177" s="193"/>
      <c r="C177" s="193"/>
      <c r="D177" s="193"/>
      <c r="E177" s="193"/>
      <c r="F177" s="193"/>
      <c r="G177" s="193"/>
      <c r="H177" s="193"/>
      <c r="I177" s="193"/>
      <c r="J177" s="193"/>
      <c r="K177" s="193"/>
      <c r="L177" s="193"/>
      <c r="M177" s="193"/>
      <c r="N177" s="193"/>
      <c r="O177" s="193"/>
      <c r="P177" s="193"/>
    </row>
    <row r="178" spans="1:16" s="194" customFormat="1">
      <c r="A178" s="193"/>
      <c r="B178" s="193"/>
      <c r="C178" s="193"/>
      <c r="D178" s="193"/>
      <c r="E178" s="193"/>
      <c r="F178" s="193"/>
      <c r="G178" s="193"/>
      <c r="H178" s="193"/>
      <c r="I178" s="193"/>
      <c r="J178" s="193"/>
      <c r="K178" s="193"/>
      <c r="L178" s="193"/>
      <c r="M178" s="193"/>
      <c r="N178" s="193"/>
      <c r="O178" s="193"/>
      <c r="P178" s="193"/>
    </row>
    <row r="179" spans="1:16">
      <c r="A179" s="31"/>
      <c r="B179" s="31"/>
      <c r="C179" s="31"/>
      <c r="D179" s="31"/>
      <c r="E179" s="31"/>
      <c r="F179" s="31"/>
      <c r="G179" s="31"/>
    </row>
    <row r="180" spans="1:16" s="194" customFormat="1">
      <c r="A180" s="193"/>
      <c r="B180" s="193"/>
      <c r="C180" s="193"/>
      <c r="D180" s="193"/>
      <c r="E180" s="193"/>
      <c r="F180" s="193"/>
      <c r="G180" s="193"/>
      <c r="H180" s="193"/>
      <c r="I180" s="193"/>
      <c r="J180" s="193"/>
      <c r="K180" s="193"/>
      <c r="L180" s="193"/>
      <c r="M180" s="193"/>
      <c r="N180" s="193"/>
      <c r="O180" s="193"/>
      <c r="P180" s="193"/>
    </row>
    <row r="181" spans="1:16">
      <c r="A181" s="31"/>
      <c r="B181" s="31"/>
      <c r="C181" s="31"/>
      <c r="D181" s="31"/>
      <c r="E181" s="31"/>
      <c r="F181" s="31"/>
      <c r="G181" s="31"/>
    </row>
    <row r="182" spans="1:16" s="194" customFormat="1">
      <c r="A182" s="193"/>
      <c r="B182" s="193"/>
      <c r="C182" s="193"/>
      <c r="D182" s="193"/>
      <c r="E182" s="193"/>
      <c r="F182" s="193"/>
      <c r="G182" s="193"/>
      <c r="H182" s="193"/>
      <c r="I182" s="193"/>
      <c r="J182" s="193"/>
      <c r="K182" s="193"/>
      <c r="L182" s="193"/>
      <c r="M182" s="193"/>
      <c r="N182" s="193"/>
      <c r="O182" s="193"/>
      <c r="P182" s="193"/>
    </row>
    <row r="183" spans="1:16">
      <c r="A183" s="31"/>
      <c r="B183" s="31"/>
      <c r="C183" s="31"/>
      <c r="D183" s="31"/>
      <c r="E183" s="31"/>
      <c r="F183" s="31"/>
      <c r="G183" s="31"/>
    </row>
    <row r="184" spans="1:16" s="194" customFormat="1">
      <c r="A184" s="193"/>
      <c r="B184" s="193"/>
      <c r="C184" s="193"/>
      <c r="D184" s="193"/>
      <c r="E184" s="193"/>
      <c r="F184" s="193"/>
      <c r="G184" s="193"/>
      <c r="H184" s="193"/>
      <c r="I184" s="193"/>
      <c r="J184" s="193"/>
      <c r="K184" s="193"/>
      <c r="L184" s="193"/>
      <c r="M184" s="193"/>
      <c r="N184" s="193"/>
      <c r="O184" s="193"/>
      <c r="P184" s="193"/>
    </row>
    <row r="185" spans="1:16">
      <c r="A185" s="31"/>
      <c r="B185" s="31"/>
      <c r="C185" s="31"/>
      <c r="D185" s="31"/>
      <c r="E185" s="31"/>
      <c r="F185" s="31"/>
      <c r="G185" s="31"/>
    </row>
    <row r="186" spans="1:16" s="194" customFormat="1">
      <c r="A186" s="193"/>
      <c r="B186" s="193"/>
      <c r="C186" s="193"/>
      <c r="D186" s="193"/>
      <c r="E186" s="193"/>
      <c r="F186" s="193"/>
      <c r="G186" s="193"/>
      <c r="H186" s="193"/>
      <c r="I186" s="193"/>
      <c r="J186" s="193"/>
      <c r="K186" s="193"/>
      <c r="L186" s="193"/>
      <c r="M186" s="193"/>
      <c r="N186" s="193"/>
      <c r="O186" s="193"/>
      <c r="P186" s="193"/>
    </row>
    <row r="187" spans="1:16">
      <c r="A187" s="31"/>
      <c r="B187" s="31"/>
      <c r="C187" s="31"/>
      <c r="D187" s="31"/>
      <c r="E187" s="31"/>
      <c r="F187" s="31"/>
      <c r="G187" s="31"/>
    </row>
    <row r="188" spans="1:16" s="194" customFormat="1">
      <c r="A188" s="193"/>
      <c r="B188" s="193"/>
      <c r="C188" s="193"/>
      <c r="D188" s="193"/>
      <c r="E188" s="193"/>
      <c r="F188" s="193"/>
      <c r="G188" s="193"/>
      <c r="H188" s="193"/>
      <c r="I188" s="193"/>
      <c r="J188" s="193"/>
      <c r="K188" s="193"/>
      <c r="L188" s="193"/>
      <c r="M188" s="193"/>
      <c r="N188" s="193"/>
      <c r="O188" s="193"/>
      <c r="P188" s="193"/>
    </row>
    <row r="189" spans="1:16" s="194" customFormat="1">
      <c r="A189" s="193"/>
      <c r="B189" s="193"/>
      <c r="C189" s="193"/>
      <c r="D189" s="193"/>
      <c r="E189" s="193"/>
      <c r="F189" s="193"/>
      <c r="G189" s="193"/>
      <c r="H189" s="193"/>
      <c r="I189" s="193"/>
      <c r="J189" s="193"/>
      <c r="K189" s="193"/>
      <c r="L189" s="193"/>
      <c r="M189" s="193"/>
      <c r="N189" s="193"/>
      <c r="O189" s="193"/>
      <c r="P189" s="193"/>
    </row>
    <row r="190" spans="1:16">
      <c r="A190" s="31"/>
      <c r="B190" s="31"/>
      <c r="C190" s="31"/>
      <c r="D190" s="31"/>
      <c r="E190" s="31"/>
      <c r="F190" s="31"/>
      <c r="G190" s="31"/>
    </row>
    <row r="191" spans="1:16" s="194" customFormat="1">
      <c r="A191" s="193"/>
      <c r="B191" s="193"/>
      <c r="C191" s="193"/>
      <c r="D191" s="193"/>
      <c r="E191" s="193"/>
      <c r="F191" s="193"/>
      <c r="G191" s="193"/>
      <c r="H191" s="193"/>
      <c r="I191" s="193"/>
      <c r="J191" s="193"/>
      <c r="K191" s="193"/>
      <c r="L191" s="193"/>
      <c r="M191" s="193"/>
      <c r="N191" s="193"/>
      <c r="O191" s="193"/>
      <c r="P191" s="193"/>
    </row>
    <row r="192" spans="1:16">
      <c r="A192" s="31"/>
      <c r="B192" s="31"/>
      <c r="C192" s="31"/>
      <c r="D192" s="31"/>
      <c r="E192" s="31"/>
      <c r="F192" s="31"/>
      <c r="G192" s="31"/>
    </row>
    <row r="193" spans="1:16" s="194" customFormat="1">
      <c r="A193" s="193"/>
      <c r="B193" s="193"/>
      <c r="C193" s="193"/>
      <c r="D193" s="193"/>
      <c r="E193" s="193"/>
      <c r="F193" s="193"/>
      <c r="G193" s="193"/>
      <c r="H193" s="193"/>
      <c r="I193" s="193"/>
      <c r="J193" s="193"/>
      <c r="K193" s="193"/>
      <c r="L193" s="193"/>
      <c r="M193" s="193"/>
      <c r="N193" s="193"/>
      <c r="O193" s="193"/>
      <c r="P193" s="193"/>
    </row>
    <row r="194" spans="1:16">
      <c r="A194" s="31"/>
      <c r="B194" s="31"/>
      <c r="C194" s="31"/>
      <c r="D194" s="31"/>
      <c r="E194" s="31"/>
      <c r="F194" s="31"/>
      <c r="G194" s="31"/>
    </row>
    <row r="195" spans="1:16" s="194" customFormat="1">
      <c r="A195" s="193"/>
      <c r="B195" s="193"/>
      <c r="C195" s="193"/>
      <c r="D195" s="193"/>
      <c r="E195" s="193"/>
      <c r="F195" s="193"/>
      <c r="G195" s="193"/>
      <c r="H195" s="193"/>
      <c r="I195" s="193"/>
      <c r="J195" s="193"/>
      <c r="K195" s="193"/>
      <c r="L195" s="193"/>
      <c r="M195" s="193"/>
      <c r="N195" s="193"/>
      <c r="O195" s="193"/>
      <c r="P195" s="193"/>
    </row>
    <row r="196" spans="1:16">
      <c r="A196" s="31"/>
      <c r="B196" s="31"/>
      <c r="C196" s="31"/>
      <c r="D196" s="31"/>
      <c r="E196" s="31"/>
      <c r="F196" s="31"/>
      <c r="G196" s="31"/>
    </row>
    <row r="197" spans="1:16" s="194" customFormat="1">
      <c r="A197" s="193"/>
      <c r="B197" s="193"/>
      <c r="C197" s="193"/>
      <c r="D197" s="193"/>
      <c r="E197" s="193"/>
      <c r="F197" s="193"/>
      <c r="G197" s="193"/>
      <c r="H197" s="193"/>
      <c r="I197" s="193"/>
      <c r="J197" s="193"/>
      <c r="K197" s="193"/>
      <c r="L197" s="193"/>
      <c r="M197" s="193"/>
      <c r="N197" s="193"/>
      <c r="O197" s="193"/>
      <c r="P197" s="193"/>
    </row>
    <row r="198" spans="1:16">
      <c r="A198" s="31"/>
      <c r="B198" s="31"/>
      <c r="C198" s="31"/>
      <c r="D198" s="31"/>
      <c r="E198" s="31"/>
      <c r="F198" s="31"/>
      <c r="G198" s="31"/>
    </row>
    <row r="199" spans="1:16" s="194" customFormat="1">
      <c r="A199" s="193"/>
      <c r="B199" s="193"/>
      <c r="C199" s="193"/>
      <c r="D199" s="193"/>
      <c r="E199" s="193"/>
      <c r="F199" s="193"/>
      <c r="G199" s="193"/>
      <c r="H199" s="193"/>
      <c r="I199" s="193"/>
      <c r="J199" s="193"/>
      <c r="K199" s="193"/>
      <c r="L199" s="193"/>
      <c r="M199" s="193"/>
      <c r="N199" s="193"/>
      <c r="O199" s="193"/>
      <c r="P199" s="193"/>
    </row>
    <row r="200" spans="1:16" s="194" customFormat="1">
      <c r="A200" s="193"/>
      <c r="B200" s="193"/>
      <c r="C200" s="193"/>
      <c r="D200" s="193"/>
      <c r="E200" s="193"/>
      <c r="F200" s="193"/>
      <c r="G200" s="193"/>
      <c r="H200" s="193"/>
      <c r="I200" s="193"/>
      <c r="J200" s="193"/>
      <c r="K200" s="193"/>
      <c r="L200" s="193"/>
      <c r="M200" s="193"/>
      <c r="N200" s="193"/>
      <c r="O200" s="193"/>
      <c r="P200" s="193"/>
    </row>
    <row r="201" spans="1:16">
      <c r="A201" s="31"/>
      <c r="B201" s="31"/>
      <c r="C201" s="31"/>
      <c r="D201" s="31"/>
      <c r="E201" s="31"/>
      <c r="F201" s="31"/>
      <c r="G201" s="31"/>
    </row>
    <row r="202" spans="1:16" s="194" customFormat="1">
      <c r="A202" s="193"/>
      <c r="B202" s="193"/>
      <c r="C202" s="193"/>
      <c r="D202" s="193"/>
      <c r="E202" s="193"/>
      <c r="F202" s="193"/>
      <c r="G202" s="193"/>
      <c r="H202" s="193"/>
      <c r="I202" s="193"/>
      <c r="J202" s="193"/>
      <c r="K202" s="193"/>
      <c r="L202" s="193"/>
      <c r="M202" s="193"/>
      <c r="N202" s="193"/>
      <c r="O202" s="193"/>
      <c r="P202" s="193"/>
    </row>
    <row r="203" spans="1:16">
      <c r="A203" s="31"/>
      <c r="B203" s="31"/>
      <c r="C203" s="31"/>
      <c r="D203" s="31"/>
      <c r="E203" s="31"/>
      <c r="F203" s="31"/>
      <c r="G203" s="31"/>
    </row>
    <row r="204" spans="1:16" s="194" customFormat="1">
      <c r="A204" s="193"/>
      <c r="B204" s="193"/>
      <c r="C204" s="193"/>
      <c r="D204" s="193"/>
      <c r="E204" s="193"/>
      <c r="F204" s="193"/>
      <c r="G204" s="193"/>
      <c r="H204" s="193"/>
      <c r="I204" s="193"/>
      <c r="J204" s="193"/>
      <c r="K204" s="193"/>
      <c r="L204" s="193"/>
      <c r="M204" s="193"/>
      <c r="N204" s="193"/>
      <c r="O204" s="193"/>
      <c r="P204" s="193"/>
    </row>
    <row r="205" spans="1:16">
      <c r="A205" s="31"/>
      <c r="B205" s="31"/>
      <c r="C205" s="31"/>
      <c r="D205" s="31"/>
      <c r="E205" s="31"/>
      <c r="F205" s="31"/>
      <c r="G205" s="31"/>
    </row>
    <row r="206" spans="1:16" s="194" customFormat="1">
      <c r="A206" s="193"/>
      <c r="B206" s="193"/>
      <c r="C206" s="193"/>
      <c r="D206" s="193"/>
      <c r="E206" s="193"/>
      <c r="F206" s="193"/>
      <c r="G206" s="193"/>
      <c r="H206" s="193"/>
      <c r="I206" s="193"/>
      <c r="J206" s="193"/>
      <c r="K206" s="193"/>
      <c r="L206" s="193"/>
      <c r="M206" s="193"/>
      <c r="N206" s="193"/>
      <c r="O206" s="193"/>
      <c r="P206" s="193"/>
    </row>
    <row r="207" spans="1:16">
      <c r="A207" s="31"/>
      <c r="B207" s="31"/>
      <c r="C207" s="31"/>
      <c r="D207" s="31"/>
      <c r="E207" s="31"/>
      <c r="F207" s="31"/>
      <c r="G207" s="31"/>
    </row>
    <row r="208" spans="1:16" s="194" customFormat="1">
      <c r="A208" s="193"/>
      <c r="B208" s="193"/>
      <c r="C208" s="193"/>
      <c r="D208" s="193"/>
      <c r="E208" s="193"/>
      <c r="F208" s="193"/>
      <c r="G208" s="193"/>
      <c r="H208" s="193"/>
      <c r="I208" s="193"/>
      <c r="J208" s="193"/>
      <c r="K208" s="193"/>
      <c r="L208" s="193"/>
      <c r="M208" s="193"/>
      <c r="N208" s="193"/>
      <c r="O208" s="193"/>
      <c r="P208" s="193"/>
    </row>
    <row r="209" spans="1:16">
      <c r="A209" s="31"/>
      <c r="B209" s="31"/>
      <c r="C209" s="31"/>
      <c r="D209" s="31"/>
      <c r="E209" s="31"/>
      <c r="F209" s="31"/>
      <c r="G209" s="31"/>
    </row>
    <row r="210" spans="1:16" s="194" customFormat="1">
      <c r="A210" s="193"/>
      <c r="B210" s="193"/>
      <c r="C210" s="193"/>
      <c r="D210" s="193"/>
      <c r="E210" s="193"/>
      <c r="F210" s="193"/>
      <c r="G210" s="193"/>
      <c r="H210" s="193"/>
      <c r="I210" s="193"/>
      <c r="J210" s="193"/>
      <c r="K210" s="193"/>
      <c r="L210" s="193"/>
      <c r="M210" s="193"/>
      <c r="N210" s="193"/>
      <c r="O210" s="193"/>
      <c r="P210" s="193"/>
    </row>
    <row r="211" spans="1:16" s="194" customFormat="1">
      <c r="A211" s="193"/>
      <c r="B211" s="193"/>
      <c r="C211" s="193"/>
      <c r="D211" s="193"/>
      <c r="E211" s="193"/>
      <c r="F211" s="193"/>
      <c r="G211" s="193"/>
      <c r="H211" s="193"/>
      <c r="I211" s="193"/>
      <c r="J211" s="193"/>
      <c r="K211" s="193"/>
      <c r="L211" s="193"/>
      <c r="M211" s="193"/>
      <c r="N211" s="193"/>
      <c r="O211" s="193"/>
      <c r="P211" s="193"/>
    </row>
    <row r="212" spans="1:16">
      <c r="A212" s="31"/>
      <c r="B212" s="31"/>
      <c r="C212" s="31"/>
      <c r="D212" s="31"/>
      <c r="E212" s="31"/>
      <c r="F212" s="31"/>
      <c r="G212" s="31"/>
    </row>
    <row r="213" spans="1:16" s="194" customFormat="1">
      <c r="A213" s="193"/>
      <c r="B213" s="193"/>
      <c r="C213" s="193"/>
      <c r="D213" s="193"/>
      <c r="E213" s="193"/>
      <c r="F213" s="193"/>
      <c r="G213" s="193"/>
      <c r="H213" s="193"/>
      <c r="I213" s="193"/>
      <c r="J213" s="193"/>
      <c r="K213" s="193"/>
      <c r="L213" s="193"/>
      <c r="M213" s="193"/>
      <c r="N213" s="193"/>
      <c r="O213" s="193"/>
      <c r="P213" s="193"/>
    </row>
    <row r="214" spans="1:16">
      <c r="A214" s="31"/>
      <c r="B214" s="31"/>
      <c r="C214" s="31"/>
      <c r="D214" s="31"/>
      <c r="E214" s="31"/>
      <c r="F214" s="31"/>
      <c r="G214" s="31"/>
    </row>
    <row r="215" spans="1:16" s="194" customFormat="1">
      <c r="A215" s="193"/>
      <c r="B215" s="193"/>
      <c r="C215" s="193"/>
      <c r="D215" s="193"/>
      <c r="E215" s="193"/>
      <c r="F215" s="193"/>
      <c r="G215" s="193"/>
      <c r="H215" s="193"/>
      <c r="I215" s="193"/>
      <c r="J215" s="193"/>
      <c r="K215" s="193"/>
      <c r="L215" s="193"/>
      <c r="M215" s="193"/>
      <c r="N215" s="193"/>
      <c r="O215" s="193"/>
      <c r="P215" s="193"/>
    </row>
    <row r="216" spans="1:16">
      <c r="A216" s="31"/>
      <c r="B216" s="31"/>
      <c r="C216" s="31"/>
      <c r="D216" s="31"/>
      <c r="E216" s="31"/>
      <c r="F216" s="31"/>
      <c r="G216" s="31"/>
    </row>
    <row r="217" spans="1:16" s="194" customFormat="1">
      <c r="A217" s="193"/>
      <c r="B217" s="193"/>
      <c r="C217" s="193"/>
      <c r="D217" s="193"/>
      <c r="E217" s="193"/>
      <c r="F217" s="193"/>
      <c r="G217" s="193"/>
      <c r="H217" s="193"/>
      <c r="I217" s="193"/>
      <c r="J217" s="193"/>
      <c r="K217" s="193"/>
      <c r="L217" s="193"/>
      <c r="M217" s="193"/>
      <c r="N217" s="193"/>
      <c r="O217" s="193"/>
      <c r="P217" s="193"/>
    </row>
    <row r="218" spans="1:16">
      <c r="A218" s="31"/>
      <c r="B218" s="31"/>
      <c r="C218" s="31"/>
      <c r="D218" s="31"/>
      <c r="E218" s="31"/>
      <c r="F218" s="31"/>
      <c r="G218" s="31"/>
    </row>
    <row r="219" spans="1:16" s="194" customFormat="1">
      <c r="A219" s="193"/>
      <c r="B219" s="193"/>
      <c r="C219" s="193"/>
      <c r="D219" s="193"/>
      <c r="E219" s="193"/>
      <c r="F219" s="193"/>
      <c r="G219" s="193"/>
      <c r="H219" s="193"/>
      <c r="I219" s="193"/>
      <c r="J219" s="193"/>
      <c r="K219" s="193"/>
      <c r="L219" s="193"/>
      <c r="M219" s="193"/>
      <c r="N219" s="193"/>
      <c r="O219" s="193"/>
      <c r="P219" s="193"/>
    </row>
    <row r="220" spans="1:16">
      <c r="A220" s="31"/>
      <c r="B220" s="31"/>
      <c r="C220" s="31"/>
      <c r="D220" s="31"/>
      <c r="E220" s="31"/>
      <c r="F220" s="31"/>
      <c r="G220" s="31"/>
    </row>
    <row r="221" spans="1:16" s="194" customFormat="1">
      <c r="A221" s="193"/>
      <c r="B221" s="193"/>
      <c r="C221" s="193"/>
      <c r="D221" s="193"/>
      <c r="E221" s="193"/>
      <c r="F221" s="193"/>
      <c r="G221" s="193"/>
      <c r="H221" s="193"/>
      <c r="I221" s="193"/>
      <c r="J221" s="193"/>
      <c r="K221" s="193"/>
      <c r="L221" s="193"/>
      <c r="M221" s="193"/>
      <c r="N221" s="193"/>
      <c r="O221" s="193"/>
      <c r="P221" s="193"/>
    </row>
    <row r="222" spans="1:16" s="194" customFormat="1">
      <c r="A222" s="193"/>
      <c r="B222" s="193"/>
      <c r="C222" s="193"/>
      <c r="D222" s="193"/>
      <c r="E222" s="193"/>
      <c r="F222" s="193"/>
      <c r="G222" s="193"/>
      <c r="H222" s="193"/>
      <c r="I222" s="193"/>
      <c r="J222" s="193"/>
      <c r="K222" s="193"/>
      <c r="L222" s="193"/>
      <c r="M222" s="193"/>
      <c r="N222" s="193"/>
      <c r="O222" s="193"/>
      <c r="P222" s="193"/>
    </row>
    <row r="223" spans="1:16">
      <c r="A223" s="31"/>
      <c r="B223" s="31"/>
      <c r="C223" s="31"/>
      <c r="D223" s="31"/>
      <c r="E223" s="31"/>
      <c r="F223" s="31"/>
      <c r="G223" s="31"/>
    </row>
    <row r="224" spans="1:16" s="194" customFormat="1">
      <c r="A224" s="193"/>
      <c r="B224" s="193"/>
      <c r="C224" s="193"/>
      <c r="D224" s="193"/>
      <c r="E224" s="193"/>
      <c r="F224" s="193"/>
      <c r="G224" s="193"/>
      <c r="H224" s="193"/>
      <c r="I224" s="193"/>
      <c r="J224" s="193"/>
      <c r="K224" s="193"/>
      <c r="L224" s="193"/>
      <c r="M224" s="193"/>
      <c r="N224" s="193"/>
      <c r="O224" s="193"/>
      <c r="P224" s="193"/>
    </row>
    <row r="225" spans="1:16">
      <c r="A225" s="31"/>
      <c r="B225" s="31"/>
      <c r="C225" s="31"/>
      <c r="D225" s="31"/>
      <c r="E225" s="31"/>
      <c r="F225" s="31"/>
      <c r="G225" s="31"/>
    </row>
    <row r="226" spans="1:16" s="194" customFormat="1">
      <c r="A226" s="193"/>
      <c r="B226" s="193"/>
      <c r="C226" s="193"/>
      <c r="D226" s="193"/>
      <c r="E226" s="193"/>
      <c r="F226" s="193"/>
      <c r="G226" s="193"/>
      <c r="H226" s="193"/>
      <c r="I226" s="193"/>
      <c r="J226" s="193"/>
      <c r="K226" s="193"/>
      <c r="L226" s="193"/>
      <c r="M226" s="193"/>
      <c r="N226" s="193"/>
      <c r="O226" s="193"/>
      <c r="P226" s="193"/>
    </row>
    <row r="227" spans="1:16">
      <c r="A227" s="31"/>
      <c r="B227" s="31"/>
      <c r="C227" s="31"/>
      <c r="D227" s="31"/>
      <c r="E227" s="31"/>
      <c r="F227" s="31"/>
      <c r="G227" s="31"/>
    </row>
    <row r="228" spans="1:16" s="194" customFormat="1">
      <c r="A228" s="193"/>
      <c r="B228" s="193"/>
      <c r="C228" s="193"/>
      <c r="D228" s="193"/>
      <c r="E228" s="193"/>
      <c r="F228" s="193"/>
      <c r="G228" s="193"/>
      <c r="H228" s="193"/>
      <c r="I228" s="193"/>
      <c r="J228" s="193"/>
      <c r="K228" s="193"/>
      <c r="L228" s="193"/>
      <c r="M228" s="193"/>
      <c r="N228" s="193"/>
      <c r="O228" s="193"/>
      <c r="P228" s="193"/>
    </row>
    <row r="229" spans="1:16">
      <c r="A229" s="31"/>
      <c r="B229" s="31"/>
      <c r="C229" s="31"/>
      <c r="D229" s="31"/>
      <c r="E229" s="31"/>
      <c r="F229" s="31"/>
      <c r="G229" s="31"/>
    </row>
    <row r="230" spans="1:16" s="194" customFormat="1">
      <c r="A230" s="193"/>
      <c r="B230" s="193"/>
      <c r="C230" s="193"/>
      <c r="D230" s="193"/>
      <c r="E230" s="193"/>
      <c r="F230" s="193"/>
      <c r="G230" s="193"/>
      <c r="H230" s="193"/>
      <c r="I230" s="193"/>
      <c r="J230" s="193"/>
      <c r="K230" s="193"/>
      <c r="L230" s="193"/>
      <c r="M230" s="193"/>
      <c r="N230" s="193"/>
      <c r="O230" s="193"/>
      <c r="P230" s="193"/>
    </row>
    <row r="231" spans="1:16">
      <c r="A231" s="31"/>
      <c r="B231" s="31"/>
      <c r="C231" s="31"/>
      <c r="D231" s="31"/>
      <c r="E231" s="31"/>
      <c r="F231" s="31"/>
      <c r="G231" s="31"/>
    </row>
    <row r="232" spans="1:16" s="194" customFormat="1">
      <c r="A232" s="193"/>
      <c r="B232" s="193"/>
      <c r="C232" s="193"/>
      <c r="D232" s="193"/>
      <c r="E232" s="193"/>
      <c r="F232" s="193"/>
      <c r="G232" s="193"/>
      <c r="H232" s="193"/>
      <c r="I232" s="193"/>
      <c r="J232" s="193"/>
      <c r="K232" s="193"/>
      <c r="L232" s="193"/>
      <c r="M232" s="193"/>
      <c r="N232" s="193"/>
      <c r="O232" s="193"/>
      <c r="P232" s="193"/>
    </row>
    <row r="233" spans="1:16" s="194" customFormat="1">
      <c r="A233" s="193"/>
      <c r="B233" s="193"/>
      <c r="C233" s="193"/>
      <c r="D233" s="193"/>
      <c r="E233" s="193"/>
      <c r="F233" s="193"/>
      <c r="G233" s="193"/>
      <c r="H233" s="193"/>
      <c r="I233" s="193"/>
      <c r="J233" s="193"/>
      <c r="K233" s="193"/>
      <c r="L233" s="193"/>
      <c r="M233" s="193"/>
      <c r="N233" s="193"/>
      <c r="O233" s="193"/>
      <c r="P233" s="193"/>
    </row>
    <row r="234" spans="1:16">
      <c r="A234" s="31"/>
      <c r="B234" s="31"/>
      <c r="C234" s="31"/>
      <c r="D234" s="31"/>
      <c r="E234" s="31"/>
      <c r="F234" s="31"/>
      <c r="G234" s="31"/>
    </row>
    <row r="235" spans="1:16" s="194" customFormat="1">
      <c r="A235" s="193"/>
      <c r="B235" s="193"/>
      <c r="C235" s="193"/>
      <c r="D235" s="193"/>
      <c r="E235" s="193"/>
      <c r="F235" s="193"/>
      <c r="G235" s="193"/>
      <c r="H235" s="193"/>
      <c r="I235" s="193"/>
      <c r="J235" s="193"/>
      <c r="K235" s="193"/>
      <c r="L235" s="193"/>
      <c r="M235" s="193"/>
      <c r="N235" s="193"/>
      <c r="O235" s="193"/>
      <c r="P235" s="193"/>
    </row>
    <row r="236" spans="1:16">
      <c r="A236" s="31"/>
      <c r="B236" s="31"/>
      <c r="C236" s="31"/>
      <c r="D236" s="31"/>
      <c r="E236" s="31"/>
      <c r="F236" s="31"/>
      <c r="G236" s="31"/>
    </row>
    <row r="237" spans="1:16" s="194" customFormat="1">
      <c r="A237" s="193"/>
      <c r="B237" s="193"/>
      <c r="C237" s="193"/>
      <c r="D237" s="193"/>
      <c r="E237" s="193"/>
      <c r="F237" s="193"/>
      <c r="G237" s="193"/>
      <c r="H237" s="193"/>
      <c r="I237" s="193"/>
      <c r="J237" s="193"/>
      <c r="K237" s="193"/>
      <c r="L237" s="193"/>
      <c r="M237" s="193"/>
      <c r="N237" s="193"/>
      <c r="O237" s="193"/>
      <c r="P237" s="193"/>
    </row>
    <row r="238" spans="1:16">
      <c r="A238" s="31"/>
      <c r="B238" s="31"/>
      <c r="C238" s="31"/>
      <c r="D238" s="31"/>
      <c r="E238" s="31"/>
      <c r="F238" s="31"/>
      <c r="G238" s="31"/>
    </row>
    <row r="239" spans="1:16" s="194" customFormat="1">
      <c r="A239" s="193"/>
      <c r="B239" s="193"/>
      <c r="C239" s="193"/>
      <c r="D239" s="193"/>
      <c r="E239" s="193"/>
      <c r="F239" s="193"/>
      <c r="G239" s="193"/>
      <c r="H239" s="193"/>
      <c r="I239" s="193"/>
      <c r="J239" s="193"/>
      <c r="K239" s="193"/>
      <c r="L239" s="193"/>
      <c r="M239" s="193"/>
      <c r="N239" s="193"/>
      <c r="O239" s="193"/>
      <c r="P239" s="193"/>
    </row>
    <row r="240" spans="1:16">
      <c r="A240" s="31"/>
      <c r="B240" s="31"/>
      <c r="C240" s="31"/>
      <c r="D240" s="31"/>
      <c r="E240" s="31"/>
      <c r="F240" s="31"/>
      <c r="G240" s="31"/>
    </row>
    <row r="241" spans="1:16" s="194" customFormat="1">
      <c r="A241" s="193"/>
      <c r="B241" s="193"/>
      <c r="C241" s="193"/>
      <c r="D241" s="193"/>
      <c r="E241" s="193"/>
      <c r="F241" s="193"/>
      <c r="G241" s="193"/>
      <c r="H241" s="193"/>
      <c r="I241" s="193"/>
      <c r="J241" s="193"/>
      <c r="K241" s="193"/>
      <c r="L241" s="193"/>
      <c r="M241" s="193"/>
      <c r="N241" s="193"/>
      <c r="O241" s="193"/>
      <c r="P241" s="193"/>
    </row>
    <row r="242" spans="1:16">
      <c r="A242" s="31"/>
      <c r="B242" s="31"/>
      <c r="C242" s="31"/>
      <c r="D242" s="31"/>
      <c r="E242" s="31"/>
      <c r="F242" s="31"/>
      <c r="G242" s="31"/>
    </row>
    <row r="243" spans="1:16" s="194" customFormat="1">
      <c r="A243" s="193"/>
      <c r="B243" s="193"/>
      <c r="C243" s="193"/>
      <c r="D243" s="193"/>
      <c r="E243" s="193"/>
      <c r="F243" s="193"/>
      <c r="G243" s="193"/>
      <c r="H243" s="193"/>
      <c r="I243" s="193"/>
      <c r="J243" s="193"/>
      <c r="K243" s="193"/>
      <c r="L243" s="193"/>
      <c r="M243" s="193"/>
      <c r="N243" s="193"/>
      <c r="O243" s="193"/>
      <c r="P243" s="193"/>
    </row>
    <row r="244" spans="1:16" s="194" customFormat="1">
      <c r="A244" s="193"/>
      <c r="B244" s="193"/>
      <c r="C244" s="193"/>
      <c r="D244" s="193"/>
      <c r="E244" s="193"/>
      <c r="F244" s="193"/>
      <c r="G244" s="193"/>
      <c r="H244" s="193"/>
      <c r="I244" s="193"/>
      <c r="J244" s="193"/>
      <c r="K244" s="193"/>
      <c r="L244" s="193"/>
      <c r="M244" s="193"/>
      <c r="N244" s="193"/>
      <c r="O244" s="193"/>
      <c r="P244" s="193"/>
    </row>
    <row r="245" spans="1:16">
      <c r="A245" s="31"/>
      <c r="B245" s="31"/>
      <c r="C245" s="31"/>
      <c r="D245" s="31"/>
      <c r="E245" s="31"/>
      <c r="F245" s="31"/>
      <c r="G245" s="31"/>
    </row>
    <row r="246" spans="1:16" s="194" customFormat="1">
      <c r="A246" s="193"/>
      <c r="B246" s="193"/>
      <c r="C246" s="193"/>
      <c r="D246" s="193"/>
      <c r="E246" s="193"/>
      <c r="F246" s="193"/>
      <c r="G246" s="193"/>
      <c r="H246" s="193"/>
      <c r="I246" s="193"/>
      <c r="J246" s="193"/>
      <c r="K246" s="193"/>
      <c r="L246" s="193"/>
      <c r="M246" s="193"/>
      <c r="N246" s="193"/>
      <c r="O246" s="193"/>
      <c r="P246" s="193"/>
    </row>
    <row r="247" spans="1:16">
      <c r="A247" s="31"/>
      <c r="B247" s="31"/>
      <c r="C247" s="31"/>
      <c r="D247" s="31"/>
      <c r="E247" s="31"/>
      <c r="F247" s="31"/>
      <c r="G247" s="31"/>
    </row>
    <row r="248" spans="1:16" s="194" customFormat="1">
      <c r="A248" s="193"/>
      <c r="B248" s="193"/>
      <c r="C248" s="193"/>
      <c r="D248" s="193"/>
      <c r="E248" s="193"/>
      <c r="F248" s="193"/>
      <c r="G248" s="193"/>
      <c r="H248" s="193"/>
      <c r="I248" s="193"/>
      <c r="J248" s="193"/>
      <c r="K248" s="193"/>
      <c r="L248" s="193"/>
      <c r="M248" s="193"/>
      <c r="N248" s="193"/>
      <c r="O248" s="193"/>
      <c r="P248" s="193"/>
    </row>
    <row r="249" spans="1:16">
      <c r="A249" s="31"/>
      <c r="B249" s="31"/>
      <c r="C249" s="31"/>
      <c r="D249" s="31"/>
      <c r="E249" s="31"/>
      <c r="F249" s="31"/>
      <c r="G249" s="31"/>
    </row>
    <row r="250" spans="1:16" s="194" customFormat="1">
      <c r="A250" s="193"/>
      <c r="B250" s="193"/>
      <c r="C250" s="193"/>
      <c r="D250" s="193"/>
      <c r="E250" s="193"/>
      <c r="F250" s="193"/>
      <c r="G250" s="193"/>
      <c r="H250" s="193"/>
      <c r="I250" s="193"/>
      <c r="J250" s="193"/>
      <c r="K250" s="193"/>
      <c r="L250" s="193"/>
      <c r="M250" s="193"/>
      <c r="N250" s="193"/>
      <c r="O250" s="193"/>
      <c r="P250" s="193"/>
    </row>
    <row r="251" spans="1:16">
      <c r="A251" s="31"/>
      <c r="B251" s="31"/>
      <c r="C251" s="31"/>
      <c r="D251" s="31"/>
      <c r="E251" s="31"/>
      <c r="F251" s="31"/>
      <c r="G251" s="31"/>
    </row>
    <row r="252" spans="1:16" s="194" customFormat="1">
      <c r="A252" s="193"/>
      <c r="B252" s="193"/>
      <c r="C252" s="193"/>
      <c r="D252" s="193"/>
      <c r="E252" s="193"/>
      <c r="F252" s="193"/>
      <c r="G252" s="193"/>
      <c r="H252" s="193"/>
      <c r="I252" s="193"/>
      <c r="J252" s="193"/>
      <c r="K252" s="193"/>
      <c r="L252" s="193"/>
      <c r="M252" s="193"/>
      <c r="N252" s="193"/>
      <c r="O252" s="193"/>
      <c r="P252" s="193"/>
    </row>
    <row r="253" spans="1:16">
      <c r="A253" s="31"/>
      <c r="B253" s="31"/>
      <c r="C253" s="31"/>
      <c r="D253" s="31"/>
      <c r="E253" s="31"/>
      <c r="F253" s="31"/>
      <c r="G253" s="31"/>
    </row>
    <row r="254" spans="1:16" s="194" customFormat="1">
      <c r="A254" s="193"/>
      <c r="B254" s="193"/>
      <c r="C254" s="193"/>
      <c r="D254" s="193"/>
      <c r="E254" s="193"/>
      <c r="F254" s="193"/>
      <c r="G254" s="193"/>
      <c r="H254" s="193"/>
      <c r="I254" s="193"/>
      <c r="J254" s="193"/>
      <c r="K254" s="193"/>
      <c r="L254" s="193"/>
      <c r="M254" s="193"/>
      <c r="N254" s="193"/>
      <c r="O254" s="193"/>
      <c r="P254" s="193"/>
    </row>
    <row r="255" spans="1:16" s="194" customFormat="1">
      <c r="A255" s="193"/>
      <c r="B255" s="193"/>
      <c r="C255" s="193"/>
      <c r="D255" s="193"/>
      <c r="E255" s="193"/>
      <c r="F255" s="193"/>
      <c r="G255" s="193"/>
      <c r="H255" s="193"/>
      <c r="I255" s="193"/>
      <c r="J255" s="193"/>
      <c r="K255" s="193"/>
      <c r="L255" s="193"/>
      <c r="M255" s="193"/>
      <c r="N255" s="193"/>
      <c r="O255" s="193"/>
      <c r="P255" s="193"/>
    </row>
    <row r="256" spans="1:16">
      <c r="A256" s="31"/>
      <c r="B256" s="31"/>
      <c r="C256" s="31"/>
      <c r="D256" s="31"/>
      <c r="E256" s="31"/>
      <c r="F256" s="31"/>
      <c r="G256" s="31"/>
    </row>
    <row r="257" spans="1:16" s="194" customFormat="1">
      <c r="A257" s="193"/>
      <c r="B257" s="193"/>
      <c r="C257" s="193"/>
      <c r="D257" s="193"/>
      <c r="E257" s="193"/>
      <c r="F257" s="193"/>
      <c r="G257" s="193"/>
      <c r="H257" s="193"/>
      <c r="I257" s="193"/>
      <c r="J257" s="193"/>
      <c r="K257" s="193"/>
      <c r="L257" s="193"/>
      <c r="M257" s="193"/>
      <c r="N257" s="193"/>
      <c r="O257" s="193"/>
      <c r="P257" s="193"/>
    </row>
    <row r="258" spans="1:16">
      <c r="A258" s="31"/>
      <c r="B258" s="31"/>
      <c r="C258" s="31"/>
      <c r="D258" s="31"/>
      <c r="E258" s="31"/>
      <c r="F258" s="31"/>
      <c r="G258" s="31"/>
    </row>
    <row r="259" spans="1:16" s="194" customFormat="1">
      <c r="A259" s="193"/>
      <c r="B259" s="193"/>
      <c r="C259" s="193"/>
      <c r="D259" s="193"/>
      <c r="E259" s="193"/>
      <c r="F259" s="193"/>
      <c r="G259" s="193"/>
      <c r="H259" s="193"/>
      <c r="I259" s="193"/>
      <c r="J259" s="193"/>
      <c r="K259" s="193"/>
      <c r="L259" s="193"/>
      <c r="M259" s="193"/>
      <c r="N259" s="193"/>
      <c r="O259" s="193"/>
      <c r="P259" s="193"/>
    </row>
    <row r="260" spans="1:16">
      <c r="A260" s="31"/>
      <c r="B260" s="31"/>
      <c r="C260" s="31"/>
      <c r="D260" s="31"/>
      <c r="E260" s="31"/>
      <c r="F260" s="31"/>
      <c r="G260" s="31"/>
    </row>
    <row r="261" spans="1:16" s="194" customFormat="1">
      <c r="A261" s="193"/>
      <c r="B261" s="193"/>
      <c r="C261" s="193"/>
      <c r="D261" s="193"/>
      <c r="E261" s="193"/>
      <c r="F261" s="193"/>
      <c r="G261" s="193"/>
      <c r="H261" s="193"/>
      <c r="I261" s="193"/>
      <c r="J261" s="193"/>
      <c r="K261" s="193"/>
      <c r="L261" s="193"/>
      <c r="M261" s="193"/>
      <c r="N261" s="193"/>
      <c r="O261" s="193"/>
      <c r="P261" s="193"/>
    </row>
    <row r="262" spans="1:16">
      <c r="A262" s="31"/>
      <c r="B262" s="31"/>
      <c r="C262" s="31"/>
      <c r="D262" s="31"/>
      <c r="E262" s="31"/>
      <c r="F262" s="31"/>
      <c r="G262" s="31"/>
    </row>
    <row r="263" spans="1:16" s="194" customFormat="1">
      <c r="A263" s="193"/>
      <c r="B263" s="193"/>
      <c r="C263" s="193"/>
      <c r="D263" s="193"/>
      <c r="E263" s="193"/>
      <c r="F263" s="193"/>
      <c r="G263" s="193"/>
      <c r="H263" s="193"/>
      <c r="I263" s="193"/>
      <c r="J263" s="193"/>
      <c r="K263" s="193"/>
      <c r="L263" s="193"/>
      <c r="M263" s="193"/>
      <c r="N263" s="193"/>
      <c r="O263" s="193"/>
      <c r="P263" s="193"/>
    </row>
    <row r="264" spans="1:16">
      <c r="A264" s="31"/>
      <c r="B264" s="31"/>
      <c r="C264" s="31"/>
      <c r="D264" s="31"/>
      <c r="E264" s="31"/>
      <c r="F264" s="31"/>
      <c r="G264" s="31"/>
    </row>
    <row r="265" spans="1:16" s="194" customFormat="1">
      <c r="A265" s="193"/>
      <c r="B265" s="193"/>
      <c r="C265" s="193"/>
      <c r="D265" s="193"/>
      <c r="E265" s="193"/>
      <c r="F265" s="193"/>
      <c r="G265" s="193"/>
      <c r="H265" s="193"/>
      <c r="I265" s="193"/>
      <c r="J265" s="193"/>
      <c r="K265" s="193"/>
      <c r="L265" s="193"/>
      <c r="M265" s="193"/>
      <c r="N265" s="193"/>
      <c r="O265" s="193"/>
      <c r="P265" s="193"/>
    </row>
    <row r="266" spans="1:16" s="194" customFormat="1">
      <c r="A266" s="193"/>
      <c r="B266" s="193"/>
      <c r="C266" s="193"/>
      <c r="D266" s="193"/>
      <c r="E266" s="193"/>
      <c r="F266" s="193"/>
      <c r="G266" s="193"/>
      <c r="H266" s="193"/>
      <c r="I266" s="193"/>
      <c r="J266" s="193"/>
      <c r="K266" s="193"/>
      <c r="L266" s="193"/>
      <c r="M266" s="193"/>
      <c r="N266" s="193"/>
      <c r="O266" s="193"/>
      <c r="P266" s="193"/>
    </row>
    <row r="267" spans="1:16">
      <c r="A267" s="31"/>
      <c r="B267" s="31"/>
      <c r="C267" s="31"/>
      <c r="D267" s="31"/>
      <c r="E267" s="31"/>
      <c r="F267" s="31"/>
      <c r="G267" s="31"/>
    </row>
    <row r="268" spans="1:16" s="194" customFormat="1">
      <c r="A268" s="193"/>
      <c r="B268" s="193"/>
      <c r="C268" s="193"/>
      <c r="D268" s="193"/>
      <c r="E268" s="193"/>
      <c r="F268" s="193"/>
      <c r="G268" s="193"/>
      <c r="H268" s="193"/>
      <c r="I268" s="193"/>
      <c r="J268" s="193"/>
      <c r="K268" s="193"/>
      <c r="L268" s="193"/>
      <c r="M268" s="193"/>
      <c r="N268" s="193"/>
      <c r="O268" s="193"/>
      <c r="P268" s="193"/>
    </row>
    <row r="269" spans="1:16">
      <c r="A269" s="31"/>
      <c r="B269" s="31"/>
      <c r="C269" s="31"/>
      <c r="D269" s="31"/>
      <c r="E269" s="31"/>
      <c r="F269" s="31"/>
      <c r="G269" s="31"/>
    </row>
    <row r="270" spans="1:16" s="194" customFormat="1">
      <c r="A270" s="193"/>
      <c r="B270" s="193"/>
      <c r="C270" s="193"/>
      <c r="D270" s="193"/>
      <c r="E270" s="193"/>
      <c r="F270" s="193"/>
      <c r="G270" s="193"/>
      <c r="H270" s="193"/>
      <c r="I270" s="193"/>
      <c r="J270" s="193"/>
      <c r="K270" s="193"/>
      <c r="L270" s="193"/>
      <c r="M270" s="193"/>
      <c r="N270" s="193"/>
      <c r="O270" s="193"/>
      <c r="P270" s="193"/>
    </row>
    <row r="271" spans="1:16">
      <c r="A271" s="31"/>
      <c r="B271" s="31"/>
      <c r="C271" s="31"/>
      <c r="D271" s="31"/>
      <c r="E271" s="31"/>
      <c r="F271" s="31"/>
      <c r="G271" s="31"/>
    </row>
    <row r="272" spans="1:16" s="194" customFormat="1">
      <c r="A272" s="193"/>
      <c r="B272" s="193"/>
      <c r="C272" s="193"/>
      <c r="D272" s="193"/>
      <c r="E272" s="193"/>
      <c r="F272" s="193"/>
      <c r="G272" s="193"/>
      <c r="H272" s="193"/>
      <c r="I272" s="193"/>
      <c r="J272" s="193"/>
      <c r="K272" s="193"/>
      <c r="L272" s="193"/>
      <c r="M272" s="193"/>
      <c r="N272" s="193"/>
      <c r="O272" s="193"/>
      <c r="P272" s="193"/>
    </row>
    <row r="273" spans="1:16">
      <c r="A273" s="31"/>
      <c r="B273" s="31"/>
      <c r="C273" s="31"/>
      <c r="D273" s="31"/>
      <c r="E273" s="31"/>
      <c r="F273" s="31"/>
      <c r="G273" s="31"/>
    </row>
    <row r="274" spans="1:16" s="194" customFormat="1">
      <c r="A274" s="193"/>
      <c r="B274" s="193"/>
      <c r="C274" s="193"/>
      <c r="D274" s="193"/>
      <c r="E274" s="193"/>
      <c r="F274" s="193"/>
      <c r="G274" s="193"/>
      <c r="H274" s="193"/>
      <c r="I274" s="193"/>
      <c r="J274" s="193"/>
      <c r="K274" s="193"/>
      <c r="L274" s="193"/>
      <c r="M274" s="193"/>
      <c r="N274" s="193"/>
      <c r="O274" s="193"/>
      <c r="P274" s="193"/>
    </row>
    <row r="275" spans="1:16">
      <c r="A275" s="31"/>
      <c r="B275" s="31"/>
      <c r="C275" s="31"/>
      <c r="D275" s="31"/>
      <c r="E275" s="31"/>
      <c r="F275" s="31"/>
      <c r="G275" s="31"/>
    </row>
    <row r="276" spans="1:16" s="194" customFormat="1">
      <c r="A276" s="193"/>
      <c r="B276" s="193"/>
      <c r="C276" s="193"/>
      <c r="D276" s="193"/>
      <c r="E276" s="193"/>
      <c r="F276" s="193"/>
      <c r="G276" s="193"/>
      <c r="H276" s="193"/>
      <c r="I276" s="193"/>
      <c r="J276" s="193"/>
      <c r="K276" s="193"/>
      <c r="L276" s="193"/>
      <c r="M276" s="193"/>
      <c r="N276" s="193"/>
      <c r="O276" s="193"/>
      <c r="P276" s="193"/>
    </row>
    <row r="277" spans="1:16" s="194" customFormat="1">
      <c r="A277" s="193"/>
      <c r="B277" s="193"/>
      <c r="C277" s="193"/>
      <c r="D277" s="193"/>
      <c r="E277" s="193"/>
      <c r="F277" s="193"/>
      <c r="G277" s="193"/>
      <c r="H277" s="193"/>
      <c r="I277" s="193"/>
      <c r="J277" s="193"/>
      <c r="K277" s="193"/>
      <c r="L277" s="193"/>
      <c r="M277" s="193"/>
      <c r="N277" s="193"/>
      <c r="O277" s="193"/>
      <c r="P277" s="193"/>
    </row>
    <row r="278" spans="1:16">
      <c r="A278" s="31"/>
      <c r="B278" s="31"/>
      <c r="C278" s="31"/>
      <c r="D278" s="31"/>
      <c r="E278" s="31"/>
      <c r="F278" s="31"/>
      <c r="G278" s="31"/>
    </row>
    <row r="279" spans="1:16" s="194" customFormat="1">
      <c r="A279" s="193"/>
      <c r="B279" s="193"/>
      <c r="C279" s="193"/>
      <c r="D279" s="193"/>
      <c r="E279" s="193"/>
      <c r="F279" s="193"/>
      <c r="G279" s="193"/>
      <c r="H279" s="193"/>
      <c r="I279" s="193"/>
      <c r="J279" s="193"/>
      <c r="K279" s="193"/>
      <c r="L279" s="193"/>
      <c r="M279" s="193"/>
      <c r="N279" s="193"/>
      <c r="O279" s="193"/>
      <c r="P279" s="193"/>
    </row>
    <row r="280" spans="1:16">
      <c r="A280" s="31"/>
      <c r="B280" s="31"/>
      <c r="C280" s="31"/>
      <c r="D280" s="31"/>
      <c r="E280" s="31"/>
      <c r="F280" s="31"/>
      <c r="G280" s="31"/>
    </row>
    <row r="281" spans="1:16" s="194" customFormat="1">
      <c r="A281" s="193"/>
      <c r="B281" s="193"/>
      <c r="C281" s="193"/>
      <c r="D281" s="193"/>
      <c r="E281" s="193"/>
      <c r="F281" s="193"/>
      <c r="G281" s="193"/>
      <c r="H281" s="193"/>
      <c r="I281" s="193"/>
      <c r="J281" s="193"/>
      <c r="K281" s="193"/>
      <c r="L281" s="193"/>
      <c r="M281" s="193"/>
      <c r="N281" s="193"/>
      <c r="O281" s="193"/>
      <c r="P281" s="193"/>
    </row>
    <row r="282" spans="1:16">
      <c r="A282" s="31"/>
      <c r="B282" s="31"/>
      <c r="C282" s="31"/>
      <c r="D282" s="31"/>
      <c r="E282" s="31"/>
      <c r="F282" s="31"/>
      <c r="G282" s="31"/>
    </row>
    <row r="283" spans="1:16" s="194" customFormat="1">
      <c r="A283" s="193"/>
      <c r="B283" s="193"/>
      <c r="C283" s="193"/>
      <c r="D283" s="193"/>
      <c r="E283" s="193"/>
      <c r="F283" s="193"/>
      <c r="G283" s="193"/>
      <c r="H283" s="193"/>
      <c r="I283" s="193"/>
      <c r="J283" s="193"/>
      <c r="K283" s="193"/>
      <c r="L283" s="193"/>
      <c r="M283" s="193"/>
      <c r="N283" s="193"/>
      <c r="O283" s="193"/>
      <c r="P283" s="193"/>
    </row>
    <row r="284" spans="1:16">
      <c r="A284" s="31"/>
      <c r="B284" s="31"/>
      <c r="C284" s="31"/>
      <c r="D284" s="31"/>
      <c r="E284" s="31"/>
      <c r="F284" s="31"/>
      <c r="G284" s="31"/>
    </row>
    <row r="285" spans="1:16" s="194" customFormat="1">
      <c r="A285" s="193"/>
      <c r="B285" s="193"/>
      <c r="C285" s="193"/>
      <c r="D285" s="193"/>
      <c r="E285" s="193"/>
      <c r="F285" s="193"/>
      <c r="G285" s="193"/>
      <c r="H285" s="193"/>
      <c r="I285" s="193"/>
      <c r="J285" s="193"/>
      <c r="K285" s="193"/>
      <c r="L285" s="193"/>
      <c r="M285" s="193"/>
      <c r="N285" s="193"/>
      <c r="O285" s="193"/>
      <c r="P285" s="193"/>
    </row>
    <row r="286" spans="1:16">
      <c r="A286" s="31"/>
      <c r="B286" s="31"/>
      <c r="C286" s="31"/>
      <c r="D286" s="31"/>
      <c r="E286" s="31"/>
      <c r="F286" s="31"/>
      <c r="G286" s="31"/>
    </row>
    <row r="287" spans="1:16" s="194" customFormat="1">
      <c r="A287" s="193"/>
      <c r="B287" s="193"/>
      <c r="C287" s="193"/>
      <c r="D287" s="193"/>
      <c r="E287" s="193"/>
      <c r="F287" s="193"/>
      <c r="G287" s="193"/>
      <c r="H287" s="193"/>
      <c r="I287" s="193"/>
      <c r="J287" s="193"/>
      <c r="K287" s="193"/>
      <c r="L287" s="193"/>
      <c r="M287" s="193"/>
      <c r="N287" s="193"/>
      <c r="O287" s="193"/>
      <c r="P287" s="193"/>
    </row>
    <row r="288" spans="1:16" s="194" customFormat="1">
      <c r="A288" s="193"/>
      <c r="B288" s="193"/>
      <c r="C288" s="193"/>
      <c r="D288" s="193"/>
      <c r="E288" s="193"/>
      <c r="F288" s="193"/>
      <c r="G288" s="193"/>
      <c r="H288" s="193"/>
      <c r="I288" s="193"/>
      <c r="J288" s="193"/>
      <c r="K288" s="193"/>
      <c r="L288" s="193"/>
      <c r="M288" s="193"/>
      <c r="N288" s="193"/>
      <c r="O288" s="193"/>
      <c r="P288" s="193"/>
    </row>
    <row r="289" spans="1:16">
      <c r="A289" s="31"/>
      <c r="B289" s="31"/>
      <c r="C289" s="31"/>
      <c r="D289" s="31"/>
      <c r="E289" s="31"/>
      <c r="F289" s="31"/>
      <c r="G289" s="31"/>
    </row>
    <row r="290" spans="1:16" s="194" customFormat="1">
      <c r="A290" s="193"/>
      <c r="B290" s="193"/>
      <c r="C290" s="193"/>
      <c r="D290" s="193"/>
      <c r="E290" s="193"/>
      <c r="F290" s="193"/>
      <c r="G290" s="193"/>
      <c r="H290" s="193"/>
      <c r="I290" s="193"/>
      <c r="J290" s="193"/>
      <c r="K290" s="193"/>
      <c r="L290" s="193"/>
      <c r="M290" s="193"/>
      <c r="N290" s="193"/>
      <c r="O290" s="193"/>
      <c r="P290" s="193"/>
    </row>
    <row r="291" spans="1:16">
      <c r="A291" s="31"/>
      <c r="B291" s="31"/>
      <c r="C291" s="31"/>
      <c r="D291" s="31"/>
      <c r="E291" s="31"/>
      <c r="F291" s="31"/>
      <c r="G291" s="31"/>
    </row>
    <row r="292" spans="1:16" s="194" customFormat="1">
      <c r="A292" s="193"/>
      <c r="B292" s="193"/>
      <c r="C292" s="193"/>
      <c r="D292" s="193"/>
      <c r="E292" s="193"/>
      <c r="F292" s="193"/>
      <c r="G292" s="193"/>
      <c r="H292" s="193"/>
      <c r="I292" s="193"/>
      <c r="J292" s="193"/>
      <c r="K292" s="193"/>
      <c r="L292" s="193"/>
      <c r="M292" s="193"/>
      <c r="N292" s="193"/>
      <c r="O292" s="193"/>
      <c r="P292" s="193"/>
    </row>
    <row r="293" spans="1:16">
      <c r="A293" s="31"/>
      <c r="B293" s="31"/>
      <c r="C293" s="31"/>
      <c r="D293" s="31"/>
      <c r="E293" s="31"/>
      <c r="F293" s="31"/>
      <c r="G293" s="31"/>
    </row>
    <row r="294" spans="1:16" s="194" customFormat="1">
      <c r="A294" s="193"/>
      <c r="B294" s="193"/>
      <c r="C294" s="193"/>
      <c r="D294" s="193"/>
      <c r="E294" s="193"/>
      <c r="F294" s="193"/>
      <c r="G294" s="193"/>
      <c r="H294" s="193"/>
      <c r="I294" s="193"/>
      <c r="J294" s="193"/>
      <c r="K294" s="193"/>
      <c r="L294" s="193"/>
      <c r="M294" s="193"/>
      <c r="N294" s="193"/>
      <c r="O294" s="193"/>
      <c r="P294" s="193"/>
    </row>
    <row r="295" spans="1:16">
      <c r="A295" s="31"/>
      <c r="B295" s="31"/>
      <c r="C295" s="31"/>
      <c r="D295" s="31"/>
      <c r="E295" s="31"/>
      <c r="F295" s="31"/>
      <c r="G295" s="31"/>
    </row>
    <row r="296" spans="1:16" s="194" customFormat="1">
      <c r="A296" s="193"/>
      <c r="B296" s="193"/>
      <c r="C296" s="193"/>
      <c r="D296" s="193"/>
      <c r="E296" s="193"/>
      <c r="F296" s="193"/>
      <c r="G296" s="193"/>
      <c r="H296" s="193"/>
      <c r="I296" s="193"/>
      <c r="J296" s="193"/>
      <c r="K296" s="193"/>
      <c r="L296" s="193"/>
      <c r="M296" s="193"/>
      <c r="N296" s="193"/>
      <c r="O296" s="193"/>
      <c r="P296" s="193"/>
    </row>
    <row r="297" spans="1:16">
      <c r="A297" s="31"/>
      <c r="B297" s="31"/>
      <c r="C297" s="31"/>
      <c r="D297" s="31"/>
      <c r="E297" s="31"/>
      <c r="F297" s="31"/>
      <c r="G297" s="31"/>
    </row>
    <row r="298" spans="1:16" s="194" customFormat="1">
      <c r="A298" s="193"/>
      <c r="B298" s="193"/>
      <c r="C298" s="193"/>
      <c r="D298" s="193"/>
      <c r="E298" s="193"/>
      <c r="F298" s="193"/>
      <c r="G298" s="193"/>
      <c r="H298" s="193"/>
      <c r="I298" s="193"/>
      <c r="J298" s="193"/>
      <c r="K298" s="193"/>
      <c r="L298" s="193"/>
      <c r="M298" s="193"/>
      <c r="N298" s="193"/>
      <c r="O298" s="193"/>
      <c r="P298" s="193"/>
    </row>
    <row r="299" spans="1:16" s="194" customFormat="1">
      <c r="A299" s="193"/>
      <c r="B299" s="193"/>
      <c r="C299" s="193"/>
      <c r="D299" s="193"/>
      <c r="E299" s="193"/>
      <c r="F299" s="193"/>
      <c r="G299" s="193"/>
      <c r="H299" s="193"/>
      <c r="I299" s="193"/>
      <c r="J299" s="193"/>
      <c r="K299" s="193"/>
      <c r="L299" s="193"/>
      <c r="M299" s="193"/>
      <c r="N299" s="193"/>
      <c r="O299" s="193"/>
      <c r="P299" s="193"/>
    </row>
    <row r="300" spans="1:16">
      <c r="A300" s="31"/>
      <c r="B300" s="31"/>
      <c r="C300" s="31"/>
      <c r="D300" s="31"/>
      <c r="E300" s="31"/>
      <c r="F300" s="31"/>
      <c r="G300" s="31"/>
    </row>
    <row r="301" spans="1:16" s="194" customFormat="1">
      <c r="A301" s="193"/>
      <c r="B301" s="193"/>
      <c r="C301" s="193"/>
      <c r="D301" s="193"/>
      <c r="E301" s="193"/>
      <c r="F301" s="193"/>
      <c r="G301" s="193"/>
      <c r="H301" s="193"/>
      <c r="I301" s="193"/>
      <c r="J301" s="193"/>
      <c r="K301" s="193"/>
      <c r="L301" s="193"/>
      <c r="M301" s="193"/>
      <c r="N301" s="193"/>
      <c r="O301" s="193"/>
      <c r="P301" s="193"/>
    </row>
    <row r="302" spans="1:16">
      <c r="A302" s="31"/>
      <c r="B302" s="31"/>
      <c r="C302" s="31"/>
      <c r="D302" s="31"/>
      <c r="E302" s="31"/>
      <c r="F302" s="31"/>
      <c r="G302" s="31"/>
    </row>
    <row r="303" spans="1:16" s="194" customFormat="1">
      <c r="A303" s="193"/>
      <c r="B303" s="193"/>
      <c r="C303" s="193"/>
      <c r="D303" s="193"/>
      <c r="E303" s="193"/>
      <c r="F303" s="193"/>
      <c r="G303" s="193"/>
      <c r="H303" s="193"/>
      <c r="I303" s="193"/>
      <c r="J303" s="193"/>
      <c r="K303" s="193"/>
      <c r="L303" s="193"/>
      <c r="M303" s="193"/>
      <c r="N303" s="193"/>
      <c r="O303" s="193"/>
      <c r="P303" s="193"/>
    </row>
    <row r="304" spans="1:16">
      <c r="A304" s="31"/>
      <c r="B304" s="31"/>
      <c r="C304" s="31"/>
      <c r="D304" s="31"/>
      <c r="E304" s="31"/>
      <c r="F304" s="31"/>
      <c r="G304" s="31"/>
    </row>
    <row r="305" spans="1:16" s="194" customFormat="1">
      <c r="A305" s="193"/>
      <c r="B305" s="193"/>
      <c r="C305" s="193"/>
      <c r="D305" s="193"/>
      <c r="E305" s="193"/>
      <c r="F305" s="193"/>
      <c r="G305" s="193"/>
      <c r="H305" s="193"/>
      <c r="I305" s="193"/>
      <c r="J305" s="193"/>
      <c r="K305" s="193"/>
      <c r="L305" s="193"/>
      <c r="M305" s="193"/>
      <c r="N305" s="193"/>
      <c r="O305" s="193"/>
      <c r="P305" s="193"/>
    </row>
    <row r="306" spans="1:16">
      <c r="A306" s="31"/>
      <c r="B306" s="31"/>
      <c r="C306" s="31"/>
      <c r="D306" s="31"/>
      <c r="E306" s="31"/>
      <c r="F306" s="31"/>
      <c r="G306" s="31"/>
    </row>
    <row r="307" spans="1:16" s="194" customFormat="1">
      <c r="A307" s="193"/>
      <c r="B307" s="193"/>
      <c r="C307" s="193"/>
      <c r="D307" s="193"/>
      <c r="E307" s="193"/>
      <c r="F307" s="193"/>
      <c r="G307" s="193"/>
      <c r="H307" s="193"/>
      <c r="I307" s="193"/>
      <c r="J307" s="193"/>
      <c r="K307" s="193"/>
      <c r="L307" s="193"/>
      <c r="M307" s="193"/>
      <c r="N307" s="193"/>
      <c r="O307" s="193"/>
      <c r="P307" s="193"/>
    </row>
    <row r="308" spans="1:16">
      <c r="A308" s="31"/>
      <c r="B308" s="31"/>
      <c r="C308" s="31"/>
      <c r="D308" s="31"/>
      <c r="E308" s="31"/>
      <c r="F308" s="31"/>
      <c r="G308" s="31"/>
    </row>
    <row r="309" spans="1:16" s="194" customFormat="1">
      <c r="A309" s="193"/>
      <c r="B309" s="193"/>
      <c r="C309" s="193"/>
      <c r="D309" s="193"/>
      <c r="E309" s="193"/>
      <c r="F309" s="193"/>
      <c r="G309" s="193"/>
      <c r="H309" s="193"/>
      <c r="I309" s="193"/>
      <c r="J309" s="193"/>
      <c r="K309" s="193"/>
      <c r="L309" s="193"/>
      <c r="M309" s="193"/>
      <c r="N309" s="193"/>
      <c r="O309" s="193"/>
      <c r="P309" s="193"/>
    </row>
    <row r="310" spans="1:16" s="194" customFormat="1">
      <c r="A310" s="193"/>
      <c r="B310" s="193"/>
      <c r="C310" s="193"/>
      <c r="D310" s="193"/>
      <c r="E310" s="193"/>
      <c r="F310" s="193"/>
      <c r="G310" s="193"/>
      <c r="H310" s="193"/>
      <c r="I310" s="193"/>
      <c r="J310" s="193"/>
      <c r="K310" s="193"/>
      <c r="L310" s="193"/>
      <c r="M310" s="193"/>
      <c r="N310" s="193"/>
      <c r="O310" s="193"/>
      <c r="P310" s="193"/>
    </row>
    <row r="311" spans="1:16">
      <c r="A311" s="31"/>
      <c r="B311" s="31"/>
      <c r="C311" s="31"/>
      <c r="D311" s="31"/>
      <c r="E311" s="31"/>
      <c r="F311" s="31"/>
      <c r="G311" s="31"/>
    </row>
    <row r="312" spans="1:16" s="194" customFormat="1">
      <c r="A312" s="193"/>
      <c r="B312" s="193"/>
      <c r="C312" s="193"/>
      <c r="D312" s="193"/>
      <c r="E312" s="193"/>
      <c r="F312" s="193"/>
      <c r="G312" s="193"/>
      <c r="H312" s="193"/>
      <c r="I312" s="193"/>
      <c r="J312" s="193"/>
      <c r="K312" s="193"/>
      <c r="L312" s="193"/>
      <c r="M312" s="193"/>
      <c r="N312" s="193"/>
      <c r="O312" s="193"/>
      <c r="P312" s="193"/>
    </row>
    <row r="313" spans="1:16">
      <c r="A313" s="31"/>
      <c r="B313" s="31"/>
      <c r="C313" s="31"/>
      <c r="D313" s="31"/>
      <c r="E313" s="31"/>
      <c r="F313" s="31"/>
      <c r="G313" s="31"/>
    </row>
    <row r="314" spans="1:16" s="194" customFormat="1">
      <c r="A314" s="193"/>
      <c r="B314" s="193"/>
      <c r="C314" s="193"/>
      <c r="D314" s="193"/>
      <c r="E314" s="193"/>
      <c r="F314" s="193"/>
      <c r="G314" s="193"/>
      <c r="H314" s="193"/>
      <c r="I314" s="193"/>
      <c r="J314" s="193"/>
      <c r="K314" s="193"/>
      <c r="L314" s="193"/>
      <c r="M314" s="193"/>
      <c r="N314" s="193"/>
      <c r="O314" s="193"/>
      <c r="P314" s="193"/>
    </row>
    <row r="315" spans="1:16">
      <c r="A315" s="31"/>
      <c r="B315" s="31"/>
      <c r="C315" s="31"/>
      <c r="D315" s="31"/>
      <c r="E315" s="31"/>
      <c r="F315" s="31"/>
      <c r="G315" s="31"/>
    </row>
    <row r="316" spans="1:16" s="194" customFormat="1">
      <c r="A316" s="193"/>
      <c r="B316" s="193"/>
      <c r="C316" s="193"/>
      <c r="D316" s="193"/>
      <c r="E316" s="193"/>
      <c r="F316" s="193"/>
      <c r="G316" s="193"/>
      <c r="H316" s="193"/>
      <c r="I316" s="193"/>
      <c r="J316" s="193"/>
      <c r="K316" s="193"/>
      <c r="L316" s="193"/>
      <c r="M316" s="193"/>
      <c r="N316" s="193"/>
      <c r="O316" s="193"/>
      <c r="P316" s="193"/>
    </row>
    <row r="317" spans="1:16">
      <c r="A317" s="31"/>
      <c r="B317" s="31"/>
      <c r="C317" s="31"/>
      <c r="D317" s="31"/>
      <c r="E317" s="31"/>
      <c r="F317" s="31"/>
      <c r="G317" s="31"/>
    </row>
    <row r="318" spans="1:16" s="194" customFormat="1">
      <c r="A318" s="193"/>
      <c r="B318" s="193"/>
      <c r="C318" s="193"/>
      <c r="D318" s="193"/>
      <c r="E318" s="193"/>
      <c r="F318" s="193"/>
      <c r="G318" s="193"/>
      <c r="H318" s="193"/>
      <c r="I318" s="193"/>
      <c r="J318" s="193"/>
      <c r="K318" s="193"/>
      <c r="L318" s="193"/>
      <c r="M318" s="193"/>
      <c r="N318" s="193"/>
      <c r="O318" s="193"/>
      <c r="P318" s="193"/>
    </row>
    <row r="319" spans="1:16">
      <c r="A319" s="31"/>
      <c r="B319" s="31"/>
      <c r="C319" s="31"/>
      <c r="D319" s="31"/>
      <c r="E319" s="31"/>
      <c r="F319" s="31"/>
      <c r="G319" s="31"/>
    </row>
    <row r="320" spans="1:16" s="194" customFormat="1">
      <c r="A320" s="193"/>
      <c r="B320" s="193"/>
      <c r="C320" s="193"/>
      <c r="D320" s="193"/>
      <c r="E320" s="193"/>
      <c r="F320" s="193"/>
      <c r="G320" s="193"/>
      <c r="H320" s="193"/>
      <c r="I320" s="193"/>
      <c r="J320" s="193"/>
      <c r="K320" s="193"/>
      <c r="L320" s="193"/>
      <c r="M320" s="193"/>
      <c r="N320" s="193"/>
      <c r="O320" s="193"/>
      <c r="P320" s="193"/>
    </row>
    <row r="321" spans="1:16" s="194" customFormat="1">
      <c r="A321" s="193"/>
      <c r="B321" s="193"/>
      <c r="C321" s="193"/>
      <c r="D321" s="193"/>
      <c r="E321" s="193"/>
      <c r="F321" s="193"/>
      <c r="G321" s="193"/>
      <c r="H321" s="193"/>
      <c r="I321" s="193"/>
      <c r="J321" s="193"/>
      <c r="K321" s="193"/>
      <c r="L321" s="193"/>
      <c r="M321" s="193"/>
      <c r="N321" s="193"/>
      <c r="O321" s="193"/>
      <c r="P321" s="193"/>
    </row>
    <row r="322" spans="1:16">
      <c r="A322" s="31"/>
      <c r="B322" s="31"/>
      <c r="C322" s="31"/>
      <c r="D322" s="31"/>
      <c r="E322" s="31"/>
      <c r="F322" s="31"/>
      <c r="G322" s="31"/>
    </row>
    <row r="323" spans="1:16" s="194" customFormat="1">
      <c r="A323" s="193"/>
      <c r="B323" s="193"/>
      <c r="C323" s="193"/>
      <c r="D323" s="193"/>
      <c r="E323" s="193"/>
      <c r="F323" s="193"/>
      <c r="G323" s="193"/>
      <c r="H323" s="193"/>
      <c r="I323" s="193"/>
      <c r="J323" s="193"/>
      <c r="K323" s="193"/>
      <c r="L323" s="193"/>
      <c r="M323" s="193"/>
      <c r="N323" s="193"/>
      <c r="O323" s="193"/>
      <c r="P323" s="193"/>
    </row>
    <row r="324" spans="1:16">
      <c r="A324" s="31"/>
      <c r="B324" s="31"/>
      <c r="C324" s="31"/>
      <c r="D324" s="31"/>
      <c r="E324" s="31"/>
      <c r="F324" s="31"/>
      <c r="G324" s="31"/>
    </row>
    <row r="325" spans="1:16" s="194" customFormat="1">
      <c r="A325" s="193"/>
      <c r="B325" s="193"/>
      <c r="C325" s="193"/>
      <c r="D325" s="193"/>
      <c r="E325" s="193"/>
      <c r="F325" s="193"/>
      <c r="G325" s="193"/>
      <c r="H325" s="193"/>
      <c r="I325" s="193"/>
      <c r="J325" s="193"/>
      <c r="K325" s="193"/>
      <c r="L325" s="193"/>
      <c r="M325" s="193"/>
      <c r="N325" s="193"/>
      <c r="O325" s="193"/>
      <c r="P325" s="193"/>
    </row>
    <row r="326" spans="1:16">
      <c r="A326" s="31"/>
      <c r="B326" s="31"/>
      <c r="C326" s="31"/>
      <c r="D326" s="31"/>
      <c r="E326" s="31"/>
      <c r="F326" s="31"/>
      <c r="G326" s="31"/>
    </row>
    <row r="327" spans="1:16" s="194" customFormat="1">
      <c r="A327" s="193"/>
      <c r="B327" s="193"/>
      <c r="C327" s="193"/>
      <c r="D327" s="193"/>
      <c r="E327" s="193"/>
      <c r="F327" s="193"/>
      <c r="G327" s="193"/>
      <c r="H327" s="193"/>
      <c r="I327" s="193"/>
      <c r="J327" s="193"/>
      <c r="K327" s="193"/>
      <c r="L327" s="193"/>
      <c r="M327" s="193"/>
      <c r="N327" s="193"/>
      <c r="O327" s="193"/>
      <c r="P327" s="193"/>
    </row>
    <row r="328" spans="1:16">
      <c r="A328" s="31"/>
      <c r="B328" s="31"/>
      <c r="C328" s="31"/>
      <c r="D328" s="31"/>
      <c r="E328" s="31"/>
      <c r="F328" s="31"/>
      <c r="G328" s="31"/>
    </row>
    <row r="329" spans="1:16" s="194" customFormat="1">
      <c r="A329" s="193"/>
      <c r="B329" s="193"/>
      <c r="C329" s="193"/>
      <c r="D329" s="193"/>
      <c r="E329" s="193"/>
      <c r="F329" s="193"/>
      <c r="G329" s="193"/>
      <c r="H329" s="193"/>
      <c r="I329" s="193"/>
      <c r="J329" s="193"/>
      <c r="K329" s="193"/>
      <c r="L329" s="193"/>
      <c r="M329" s="193"/>
      <c r="N329" s="193"/>
      <c r="O329" s="193"/>
      <c r="P329" s="193"/>
    </row>
    <row r="330" spans="1:16">
      <c r="A330" s="31"/>
      <c r="B330" s="31"/>
      <c r="C330" s="31"/>
      <c r="D330" s="31"/>
      <c r="E330" s="31"/>
      <c r="F330" s="31"/>
      <c r="G330" s="31"/>
    </row>
    <row r="331" spans="1:16" s="194" customFormat="1">
      <c r="A331" s="193"/>
      <c r="B331" s="193"/>
      <c r="C331" s="193"/>
      <c r="D331" s="193"/>
      <c r="E331" s="193"/>
      <c r="F331" s="193"/>
      <c r="G331" s="193"/>
      <c r="H331" s="193"/>
      <c r="I331" s="193"/>
      <c r="J331" s="193"/>
      <c r="K331" s="193"/>
      <c r="L331" s="193"/>
      <c r="M331" s="193"/>
      <c r="N331" s="193"/>
      <c r="O331" s="193"/>
      <c r="P331" s="193"/>
    </row>
    <row r="332" spans="1:16" s="194" customFormat="1">
      <c r="A332" s="193"/>
      <c r="B332" s="193"/>
      <c r="C332" s="193"/>
      <c r="D332" s="193"/>
      <c r="E332" s="193"/>
      <c r="F332" s="193"/>
      <c r="G332" s="193"/>
      <c r="H332" s="193"/>
      <c r="I332" s="193"/>
      <c r="J332" s="193"/>
      <c r="K332" s="193"/>
      <c r="L332" s="193"/>
      <c r="M332" s="193"/>
      <c r="N332" s="193"/>
      <c r="O332" s="193"/>
      <c r="P332" s="193"/>
    </row>
    <row r="333" spans="1:16">
      <c r="A333" s="31"/>
      <c r="B333" s="31"/>
      <c r="C333" s="31"/>
      <c r="D333" s="31"/>
      <c r="E333" s="31"/>
      <c r="F333" s="31"/>
      <c r="G333" s="31"/>
    </row>
    <row r="334" spans="1:16" s="194" customFormat="1">
      <c r="A334" s="193"/>
      <c r="B334" s="193"/>
      <c r="C334" s="193"/>
      <c r="D334" s="193"/>
      <c r="E334" s="193"/>
      <c r="F334" s="193"/>
      <c r="G334" s="193"/>
      <c r="H334" s="193"/>
      <c r="I334" s="193"/>
      <c r="J334" s="193"/>
      <c r="K334" s="193"/>
      <c r="L334" s="193"/>
      <c r="M334" s="193"/>
      <c r="N334" s="193"/>
      <c r="O334" s="193"/>
      <c r="P334" s="193"/>
    </row>
    <row r="335" spans="1:16">
      <c r="A335" s="31"/>
      <c r="B335" s="31"/>
      <c r="C335" s="31"/>
      <c r="D335" s="31"/>
      <c r="E335" s="31"/>
      <c r="F335" s="31"/>
      <c r="G335" s="31"/>
    </row>
    <row r="336" spans="1:16" s="194" customFormat="1">
      <c r="A336" s="193"/>
      <c r="B336" s="193"/>
      <c r="C336" s="193"/>
      <c r="D336" s="193"/>
      <c r="E336" s="193"/>
      <c r="F336" s="193"/>
      <c r="G336" s="193"/>
      <c r="H336" s="193"/>
      <c r="I336" s="193"/>
      <c r="J336" s="193"/>
      <c r="K336" s="193"/>
      <c r="L336" s="193"/>
      <c r="M336" s="193"/>
      <c r="N336" s="193"/>
      <c r="O336" s="193"/>
      <c r="P336" s="193"/>
    </row>
    <row r="337" spans="1:16" s="194" customFormat="1">
      <c r="A337" s="193"/>
      <c r="B337" s="193"/>
      <c r="C337" s="193"/>
      <c r="D337" s="193"/>
      <c r="E337" s="193"/>
      <c r="F337" s="193"/>
      <c r="G337" s="193"/>
      <c r="H337" s="193"/>
      <c r="I337" s="193"/>
      <c r="J337" s="193"/>
      <c r="K337" s="193"/>
      <c r="L337" s="193"/>
      <c r="M337" s="193"/>
      <c r="N337" s="193"/>
      <c r="O337" s="193"/>
      <c r="P337" s="193"/>
    </row>
    <row r="338" spans="1:16" s="194" customFormat="1">
      <c r="A338" s="193"/>
      <c r="B338" s="193"/>
      <c r="C338" s="193"/>
      <c r="D338" s="193"/>
      <c r="E338" s="193"/>
      <c r="F338" s="193"/>
      <c r="G338" s="193"/>
      <c r="H338" s="193"/>
      <c r="I338" s="193"/>
      <c r="J338" s="193"/>
      <c r="K338" s="193"/>
      <c r="L338" s="193"/>
      <c r="M338" s="193"/>
      <c r="N338" s="193"/>
      <c r="O338" s="193"/>
      <c r="P338" s="193"/>
    </row>
    <row r="339" spans="1:16" s="194" customFormat="1">
      <c r="A339" s="193"/>
      <c r="B339" s="193"/>
      <c r="C339" s="193"/>
      <c r="D339" s="193"/>
      <c r="E339" s="193"/>
      <c r="F339" s="193"/>
      <c r="G339" s="193"/>
      <c r="H339" s="193"/>
      <c r="I339" s="193"/>
      <c r="J339" s="193"/>
      <c r="K339" s="193"/>
      <c r="L339" s="193"/>
      <c r="M339" s="193"/>
      <c r="N339" s="193"/>
      <c r="O339" s="193"/>
      <c r="P339" s="193"/>
    </row>
    <row r="340" spans="1:16" s="194" customFormat="1">
      <c r="A340" s="193"/>
      <c r="B340" s="193"/>
      <c r="C340" s="193"/>
      <c r="D340" s="193"/>
      <c r="E340" s="193"/>
      <c r="F340" s="193"/>
      <c r="G340" s="193"/>
      <c r="H340" s="193"/>
      <c r="I340" s="193"/>
      <c r="J340" s="193"/>
      <c r="K340" s="193"/>
      <c r="L340" s="193"/>
      <c r="M340" s="193"/>
      <c r="N340" s="193"/>
      <c r="O340" s="193"/>
      <c r="P340" s="193"/>
    </row>
    <row r="341" spans="1:16" s="194" customFormat="1">
      <c r="A341" s="193"/>
      <c r="B341" s="193"/>
      <c r="C341" s="193"/>
      <c r="D341" s="193"/>
      <c r="E341" s="193"/>
      <c r="F341" s="193"/>
      <c r="G341" s="193"/>
      <c r="H341" s="193"/>
      <c r="I341" s="193"/>
      <c r="J341" s="193"/>
      <c r="K341" s="193"/>
      <c r="L341" s="193"/>
      <c r="M341" s="193"/>
      <c r="N341" s="193"/>
      <c r="O341" s="193"/>
      <c r="P341" s="193"/>
    </row>
    <row r="342" spans="1:16" s="194" customFormat="1"/>
    <row r="343" spans="1:16" s="194" customFormat="1"/>
    <row r="344" spans="1:16" s="194" customFormat="1"/>
  </sheetData>
  <protectedRanges>
    <protectedRange sqref="J18:K23" name="Range1"/>
  </protectedRanges>
  <mergeCells count="12">
    <mergeCell ref="A1:K1"/>
    <mergeCell ref="A2:K2"/>
    <mergeCell ref="A3:K3"/>
    <mergeCell ref="A4:K4"/>
    <mergeCell ref="A5:K5"/>
    <mergeCell ref="N14:O14"/>
    <mergeCell ref="J15:K15"/>
    <mergeCell ref="N15:O15"/>
    <mergeCell ref="A16:E16"/>
    <mergeCell ref="H16:K16"/>
    <mergeCell ref="L16:O16"/>
    <mergeCell ref="J14:K14"/>
  </mergeCells>
  <conditionalFormatting sqref="H18:H23 J18:J23 L18:L23 N18:N23">
    <cfRule type="cellIs" dxfId="5" priority="1" operator="equal">
      <formula>$B$8</formula>
    </cfRule>
    <cfRule type="cellIs" dxfId="4" priority="2" operator="equal">
      <formula>$C$8</formula>
    </cfRule>
    <cfRule type="cellIs" dxfId="3" priority="3" operator="equal">
      <formula>$D$8</formula>
    </cfRule>
    <cfRule type="cellIs" dxfId="2" priority="4" operator="equal">
      <formula>$E$8</formula>
    </cfRule>
    <cfRule type="cellIs" dxfId="1" priority="5" operator="equal">
      <formula>$F$8</formula>
    </cfRule>
    <cfRule type="cellIs" dxfId="0" priority="6" operator="equal">
      <formula>$G$8</formula>
    </cfRule>
  </conditionalFormatting>
  <dataValidations count="3">
    <dataValidation type="list" allowBlank="1" showInputMessage="1" showErrorMessage="1" errorTitle="Which Type?" error="Done_x000a_Undone_x000a_N/A_x000a_Inprogress" sqref="N19:N23" xr:uid="{5A20CD53-BAAA-4B20-9AC3-8C8513D96B85}">
      <formula1>$B$8:$E$8</formula1>
    </dataValidation>
    <dataValidation type="list" allowBlank="1" showInputMessage="1" showErrorMessage="1" sqref="J18:J23 H18:H23 L18:L23" xr:uid="{3AD599B8-E3D0-4DF4-9A33-390CBD64C0E3}">
      <formula1>$B$8:$G$8</formula1>
    </dataValidation>
    <dataValidation type="list" allowBlank="1" showInputMessage="1" showErrorMessage="1" errorTitle="Which One" error="Done_x000a_Undone_x000a_N/A_x000a_Inprogress" sqref="N18" xr:uid="{1B61406A-65BE-470B-A398-1E372DD71EF0}">
      <formula1>$B$8:$E$8</formula1>
    </dataValidation>
  </dataValidations>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C619-D31A-440E-A5BC-33BA1DE2F31A}">
  <dimension ref="A1:D14"/>
  <sheetViews>
    <sheetView zoomScaleNormal="100" workbookViewId="0">
      <selection activeCell="A8" sqref="A8"/>
    </sheetView>
  </sheetViews>
  <sheetFormatPr defaultRowHeight="15"/>
  <cols>
    <col min="1" max="1" width="180.7109375" customWidth="1"/>
    <col min="2" max="2" width="22.140625" bestFit="1" customWidth="1"/>
    <col min="3" max="3" width="20.85546875" bestFit="1" customWidth="1"/>
    <col min="4" max="4" width="20.7109375" bestFit="1" customWidth="1"/>
    <col min="5" max="5" width="30.42578125" customWidth="1"/>
  </cols>
  <sheetData>
    <row r="1" spans="1:4">
      <c r="A1" s="156" t="s">
        <v>386</v>
      </c>
      <c r="B1" s="148" t="s">
        <v>34</v>
      </c>
      <c r="C1" s="148" t="s">
        <v>35</v>
      </c>
      <c r="D1" s="149" t="s">
        <v>210</v>
      </c>
    </row>
    <row r="2" spans="1:4">
      <c r="A2" s="156" t="s">
        <v>136</v>
      </c>
      <c r="B2" s="150"/>
      <c r="C2" s="151"/>
      <c r="D2" s="151"/>
    </row>
    <row r="3" spans="1:4">
      <c r="A3" s="156" t="s">
        <v>137</v>
      </c>
      <c r="B3" s="121"/>
      <c r="C3" s="93"/>
      <c r="D3" s="93"/>
    </row>
    <row r="4" spans="1:4" ht="30">
      <c r="A4" s="156" t="s">
        <v>138</v>
      </c>
      <c r="B4" s="150"/>
      <c r="C4" s="151"/>
      <c r="D4" s="151"/>
    </row>
    <row r="5" spans="1:4">
      <c r="A5" s="156" t="s">
        <v>139</v>
      </c>
      <c r="B5" s="121"/>
      <c r="C5" s="93"/>
      <c r="D5" s="93"/>
    </row>
    <row r="6" spans="1:4">
      <c r="A6" s="156" t="s">
        <v>140</v>
      </c>
      <c r="B6" s="150"/>
      <c r="C6" s="151"/>
      <c r="D6" s="151"/>
    </row>
    <row r="7" spans="1:4">
      <c r="A7" s="156" t="s">
        <v>141</v>
      </c>
      <c r="B7" s="152"/>
      <c r="C7" s="93"/>
      <c r="D7" s="93"/>
    </row>
    <row r="8" spans="1:4">
      <c r="A8" s="156" t="s">
        <v>142</v>
      </c>
      <c r="B8" s="153"/>
      <c r="C8" s="151"/>
      <c r="D8" s="151"/>
    </row>
    <row r="9" spans="1:4">
      <c r="A9" s="156" t="s">
        <v>143</v>
      </c>
      <c r="B9" s="121"/>
      <c r="C9" s="93"/>
      <c r="D9" s="93"/>
    </row>
    <row r="10" spans="1:4">
      <c r="A10" s="156" t="s">
        <v>144</v>
      </c>
      <c r="B10" s="150"/>
      <c r="C10" s="151"/>
      <c r="D10" s="151"/>
    </row>
    <row r="11" spans="1:4">
      <c r="A11" s="156" t="s">
        <v>145</v>
      </c>
      <c r="B11" s="121"/>
      <c r="C11" s="93"/>
      <c r="D11" s="93"/>
    </row>
    <row r="12" spans="1:4">
      <c r="A12" s="156" t="s">
        <v>146</v>
      </c>
      <c r="B12" s="150"/>
      <c r="C12" s="151"/>
      <c r="D12" s="151"/>
    </row>
    <row r="13" spans="1:4">
      <c r="A13" s="156" t="s">
        <v>147</v>
      </c>
      <c r="B13" s="121"/>
      <c r="C13" s="93"/>
      <c r="D13" s="93"/>
    </row>
    <row r="14" spans="1:4">
      <c r="A14" s="125" t="s">
        <v>148</v>
      </c>
      <c r="B14" s="154"/>
      <c r="C14" s="155"/>
      <c r="D14" s="15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17821-A46E-4062-82ED-098BBA8D8064}">
  <dimension ref="A1:D30"/>
  <sheetViews>
    <sheetView workbookViewId="0">
      <pane ySplit="1" topLeftCell="A19" activePane="bottomLeft" state="frozen"/>
      <selection pane="bottomLeft" activeCell="A31" sqref="A31:XFD36"/>
    </sheetView>
  </sheetViews>
  <sheetFormatPr defaultColWidth="8.7109375" defaultRowHeight="15"/>
  <cols>
    <col min="1" max="1" width="59.5703125" style="83" bestFit="1" customWidth="1"/>
    <col min="2" max="2" width="82.5703125" style="84" bestFit="1" customWidth="1"/>
    <col min="3" max="4" width="82.7109375" style="84" bestFit="1" customWidth="1"/>
    <col min="5" max="16384" width="8.7109375" style="84"/>
  </cols>
  <sheetData>
    <row r="1" spans="1:4" s="83" customFormat="1">
      <c r="A1" s="82" t="s">
        <v>278</v>
      </c>
      <c r="B1" s="82" t="s">
        <v>279</v>
      </c>
      <c r="C1" s="82" t="s">
        <v>35</v>
      </c>
      <c r="D1" s="82" t="s">
        <v>210</v>
      </c>
    </row>
    <row r="2" spans="1:4">
      <c r="A2" s="2" t="s">
        <v>280</v>
      </c>
      <c r="B2" s="2"/>
      <c r="C2" s="2"/>
      <c r="D2" s="2"/>
    </row>
    <row r="3" spans="1:4">
      <c r="A3" s="2" t="s">
        <v>281</v>
      </c>
      <c r="B3" s="2"/>
      <c r="C3" s="2"/>
      <c r="D3" s="2"/>
    </row>
    <row r="4" spans="1:4">
      <c r="A4" s="2" t="s">
        <v>282</v>
      </c>
      <c r="B4" s="2"/>
      <c r="C4" s="2"/>
      <c r="D4" s="2"/>
    </row>
    <row r="5" spans="1:4">
      <c r="A5" s="2" t="s">
        <v>283</v>
      </c>
      <c r="B5" s="2"/>
      <c r="C5" s="2"/>
      <c r="D5" s="2"/>
    </row>
    <row r="6" spans="1:4" ht="60">
      <c r="A6" s="85" t="s">
        <v>284</v>
      </c>
      <c r="B6" s="85" t="s">
        <v>285</v>
      </c>
      <c r="C6" s="2"/>
      <c r="D6" s="2"/>
    </row>
    <row r="7" spans="1:4">
      <c r="A7" s="2" t="s">
        <v>286</v>
      </c>
      <c r="B7" s="2"/>
      <c r="C7" s="2"/>
      <c r="D7" s="2"/>
    </row>
    <row r="8" spans="1:4">
      <c r="A8" s="2" t="s">
        <v>287</v>
      </c>
      <c r="B8" s="2"/>
      <c r="C8" s="2"/>
      <c r="D8" s="2"/>
    </row>
    <row r="9" spans="1:4">
      <c r="A9" s="2" t="s">
        <v>288</v>
      </c>
      <c r="B9" s="2"/>
      <c r="C9" s="2"/>
      <c r="D9" s="2"/>
    </row>
    <row r="10" spans="1:4">
      <c r="A10" s="2" t="s">
        <v>289</v>
      </c>
      <c r="B10" s="2"/>
      <c r="C10" s="2"/>
      <c r="D10" s="2"/>
    </row>
    <row r="11" spans="1:4" ht="60">
      <c r="A11" s="86" t="s">
        <v>290</v>
      </c>
      <c r="B11" s="86" t="s">
        <v>291</v>
      </c>
      <c r="C11" s="2"/>
      <c r="D11" s="2"/>
    </row>
    <row r="12" spans="1:4">
      <c r="A12" s="2" t="s">
        <v>292</v>
      </c>
      <c r="B12" s="2"/>
      <c r="C12" s="2"/>
      <c r="D12" s="2"/>
    </row>
    <row r="13" spans="1:4">
      <c r="A13" s="2" t="s">
        <v>293</v>
      </c>
      <c r="B13" s="2"/>
      <c r="C13" s="2"/>
      <c r="D13" s="2"/>
    </row>
    <row r="14" spans="1:4" ht="45">
      <c r="A14" s="85" t="s">
        <v>294</v>
      </c>
      <c r="B14" s="85" t="s">
        <v>295</v>
      </c>
      <c r="C14" s="2"/>
      <c r="D14" s="2"/>
    </row>
    <row r="15" spans="1:4">
      <c r="A15" s="2" t="s">
        <v>296</v>
      </c>
      <c r="B15" s="2"/>
      <c r="C15" s="2"/>
      <c r="D15" s="2"/>
    </row>
    <row r="16" spans="1:4">
      <c r="A16" s="2" t="s">
        <v>297</v>
      </c>
      <c r="B16" s="2"/>
      <c r="C16" s="2"/>
      <c r="D16" s="2"/>
    </row>
    <row r="17" spans="1:4">
      <c r="A17" s="2" t="s">
        <v>298</v>
      </c>
      <c r="B17" s="2"/>
      <c r="C17" s="2"/>
      <c r="D17" s="2"/>
    </row>
    <row r="18" spans="1:4">
      <c r="A18" s="2" t="s">
        <v>299</v>
      </c>
      <c r="B18" s="2"/>
      <c r="C18" s="2"/>
      <c r="D18" s="2"/>
    </row>
    <row r="19" spans="1:4">
      <c r="A19" s="2" t="s">
        <v>300</v>
      </c>
      <c r="B19" s="2"/>
      <c r="C19" s="2"/>
      <c r="D19" s="2"/>
    </row>
    <row r="20" spans="1:4">
      <c r="A20" s="2" t="s">
        <v>301</v>
      </c>
      <c r="B20" s="2"/>
      <c r="C20" s="2"/>
      <c r="D20" s="2"/>
    </row>
    <row r="21" spans="1:4">
      <c r="A21" s="2" t="s">
        <v>302</v>
      </c>
      <c r="B21" s="2"/>
      <c r="C21" s="2"/>
      <c r="D21" s="2"/>
    </row>
    <row r="22" spans="1:4" ht="60">
      <c r="A22" s="85" t="s">
        <v>303</v>
      </c>
      <c r="B22" s="85" t="s">
        <v>304</v>
      </c>
      <c r="C22" s="2"/>
      <c r="D22" s="2"/>
    </row>
    <row r="23" spans="1:4" ht="30">
      <c r="A23" s="87" t="s">
        <v>305</v>
      </c>
      <c r="B23" s="87" t="s">
        <v>306</v>
      </c>
      <c r="C23" s="2"/>
      <c r="D23" s="2"/>
    </row>
    <row r="24" spans="1:4" ht="45">
      <c r="A24" s="88" t="s">
        <v>307</v>
      </c>
      <c r="B24" s="88" t="s">
        <v>308</v>
      </c>
      <c r="C24" s="2"/>
      <c r="D24" s="2"/>
    </row>
    <row r="25" spans="1:4">
      <c r="A25" s="2" t="s">
        <v>309</v>
      </c>
      <c r="B25" s="2"/>
      <c r="C25" s="2"/>
      <c r="D25" s="2"/>
    </row>
    <row r="26" spans="1:4">
      <c r="A26" s="2" t="s">
        <v>310</v>
      </c>
      <c r="B26" s="2"/>
      <c r="C26" s="2"/>
      <c r="D26" s="2"/>
    </row>
    <row r="27" spans="1:4">
      <c r="A27" s="2" t="s">
        <v>311</v>
      </c>
      <c r="B27" s="2"/>
      <c r="C27" s="2"/>
      <c r="D27" s="2"/>
    </row>
    <row r="28" spans="1:4">
      <c r="A28" s="2" t="s">
        <v>312</v>
      </c>
      <c r="B28" s="2"/>
      <c r="C28" s="2"/>
      <c r="D28" s="2"/>
    </row>
    <row r="29" spans="1:4" ht="30">
      <c r="A29" s="86" t="s">
        <v>313</v>
      </c>
      <c r="B29" s="86" t="s">
        <v>314</v>
      </c>
      <c r="C29" s="2"/>
      <c r="D29" s="2"/>
    </row>
    <row r="30" spans="1:4">
      <c r="A30" s="2" t="s">
        <v>315</v>
      </c>
      <c r="B30" s="2"/>
      <c r="C30" s="2"/>
      <c r="D30"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71B49-A521-44CE-8AC0-6DC14B984513}">
  <dimension ref="A1:L26"/>
  <sheetViews>
    <sheetView topLeftCell="F1" zoomScaleNormal="100" workbookViewId="0">
      <selection activeCell="K10" sqref="K10"/>
    </sheetView>
  </sheetViews>
  <sheetFormatPr defaultColWidth="9.140625" defaultRowHeight="15"/>
  <cols>
    <col min="1" max="1" width="9.140625" style="1"/>
    <col min="2" max="2" width="23.140625" style="1" bestFit="1" customWidth="1"/>
    <col min="3" max="3" width="9.5703125" style="1" customWidth="1"/>
    <col min="4" max="4" width="11" style="1" customWidth="1"/>
    <col min="5" max="5" width="34.42578125" style="1" bestFit="1" customWidth="1"/>
    <col min="6" max="6" width="23.140625" style="1" bestFit="1" customWidth="1"/>
    <col min="7" max="7" width="17" style="1" customWidth="1"/>
    <col min="8" max="8" width="19.5703125" style="14" bestFit="1" customWidth="1"/>
    <col min="9" max="9" width="20" style="14" bestFit="1" customWidth="1"/>
    <col min="10" max="10" width="75.5703125" style="14" customWidth="1"/>
    <col min="11" max="11" width="26.7109375" style="14" bestFit="1" customWidth="1"/>
    <col min="12" max="12" width="27.7109375" style="14" bestFit="1" customWidth="1"/>
    <col min="13" max="16384" width="9.140625" style="1"/>
  </cols>
  <sheetData>
    <row r="1" spans="1:12" s="3" customFormat="1">
      <c r="A1" s="118" t="s">
        <v>23</v>
      </c>
      <c r="B1" s="112" t="s">
        <v>43</v>
      </c>
      <c r="C1" s="112" t="s">
        <v>42</v>
      </c>
      <c r="D1" s="112" t="s">
        <v>41</v>
      </c>
      <c r="E1" s="112" t="s">
        <v>40</v>
      </c>
      <c r="F1" s="112" t="s">
        <v>39</v>
      </c>
      <c r="G1" s="112" t="s">
        <v>38</v>
      </c>
      <c r="H1" s="139" t="s">
        <v>37</v>
      </c>
      <c r="I1" s="139" t="s">
        <v>36</v>
      </c>
      <c r="J1" s="139" t="s">
        <v>34</v>
      </c>
      <c r="K1" s="139" t="s">
        <v>35</v>
      </c>
      <c r="L1" s="140" t="s">
        <v>210</v>
      </c>
    </row>
    <row r="2" spans="1:12">
      <c r="A2" s="120"/>
      <c r="B2" s="97" t="s">
        <v>33</v>
      </c>
      <c r="C2" s="141">
        <v>0</v>
      </c>
      <c r="D2" s="141">
        <v>0</v>
      </c>
      <c r="E2" s="97" t="s">
        <v>33</v>
      </c>
      <c r="F2" s="97" t="s">
        <v>32</v>
      </c>
      <c r="G2" s="97" t="s">
        <v>59</v>
      </c>
      <c r="H2" s="142"/>
      <c r="I2" s="93"/>
      <c r="J2" s="121"/>
      <c r="K2" s="93"/>
      <c r="L2" s="93"/>
    </row>
    <row r="3" spans="1:12">
      <c r="A3" s="120"/>
      <c r="B3" s="97" t="s">
        <v>64</v>
      </c>
      <c r="C3" s="141">
        <v>1</v>
      </c>
      <c r="D3" s="141">
        <v>1</v>
      </c>
      <c r="E3" s="97" t="s">
        <v>64</v>
      </c>
      <c r="F3" s="97" t="s">
        <v>101</v>
      </c>
      <c r="G3" s="97" t="s">
        <v>60</v>
      </c>
      <c r="H3" s="142"/>
      <c r="I3" s="93"/>
      <c r="J3" s="121"/>
      <c r="K3" s="93"/>
      <c r="L3" s="93"/>
    </row>
    <row r="4" spans="1:12">
      <c r="A4" s="120"/>
      <c r="B4" s="97" t="s">
        <v>65</v>
      </c>
      <c r="C4" s="141">
        <v>2</v>
      </c>
      <c r="D4" s="141">
        <v>2</v>
      </c>
      <c r="E4" s="97" t="s">
        <v>65</v>
      </c>
      <c r="F4" s="97" t="s">
        <v>102</v>
      </c>
      <c r="G4" s="97" t="s">
        <v>60</v>
      </c>
      <c r="H4" s="142"/>
      <c r="I4" s="93"/>
      <c r="J4" s="121"/>
      <c r="K4" s="93"/>
      <c r="L4" s="93"/>
    </row>
    <row r="5" spans="1:12">
      <c r="A5" s="120"/>
      <c r="B5" s="97" t="s">
        <v>66</v>
      </c>
      <c r="C5" s="141">
        <v>3</v>
      </c>
      <c r="D5" s="141">
        <v>4</v>
      </c>
      <c r="E5" s="97" t="s">
        <v>66</v>
      </c>
      <c r="F5" s="97" t="s">
        <v>103</v>
      </c>
      <c r="G5" s="97" t="s">
        <v>60</v>
      </c>
      <c r="H5" s="142"/>
      <c r="I5" s="93"/>
      <c r="J5" s="121"/>
      <c r="K5" s="93"/>
      <c r="L5" s="93"/>
    </row>
    <row r="6" spans="1:12">
      <c r="A6" s="120"/>
      <c r="B6" s="97" t="s">
        <v>67</v>
      </c>
      <c r="C6" s="141">
        <v>4</v>
      </c>
      <c r="D6" s="141">
        <v>7</v>
      </c>
      <c r="E6" s="97" t="s">
        <v>67</v>
      </c>
      <c r="F6" s="97" t="s">
        <v>104</v>
      </c>
      <c r="G6" s="97" t="s">
        <v>60</v>
      </c>
      <c r="H6" s="142"/>
      <c r="I6" s="93"/>
      <c r="J6" s="121"/>
      <c r="K6" s="93"/>
      <c r="L6" s="93"/>
    </row>
    <row r="7" spans="1:12">
      <c r="A7" s="120"/>
      <c r="B7" s="97" t="s">
        <v>68</v>
      </c>
      <c r="C7" s="141">
        <v>5</v>
      </c>
      <c r="D7" s="141">
        <v>0</v>
      </c>
      <c r="E7" s="97" t="s">
        <v>68</v>
      </c>
      <c r="F7" s="97" t="s">
        <v>102</v>
      </c>
      <c r="G7" s="97" t="s">
        <v>61</v>
      </c>
      <c r="H7" s="142"/>
      <c r="I7" s="93"/>
      <c r="J7" s="143"/>
      <c r="K7" s="93"/>
      <c r="L7" s="93"/>
    </row>
    <row r="8" spans="1:12">
      <c r="A8" s="120"/>
      <c r="B8" s="97" t="s">
        <v>69</v>
      </c>
      <c r="C8" s="141">
        <v>6</v>
      </c>
      <c r="D8" s="141">
        <v>0</v>
      </c>
      <c r="E8" s="97" t="s">
        <v>69</v>
      </c>
      <c r="F8" s="97" t="s">
        <v>102</v>
      </c>
      <c r="G8" s="97" t="s">
        <v>62</v>
      </c>
      <c r="H8" s="142"/>
      <c r="I8" s="93"/>
      <c r="J8" s="144"/>
      <c r="K8" s="93"/>
      <c r="L8" s="93"/>
    </row>
    <row r="9" spans="1:12">
      <c r="A9" s="120"/>
      <c r="B9" s="97" t="s">
        <v>70</v>
      </c>
      <c r="C9" s="141">
        <v>7</v>
      </c>
      <c r="D9" s="141">
        <v>0</v>
      </c>
      <c r="E9" s="97" t="s">
        <v>70</v>
      </c>
      <c r="F9" s="97" t="s">
        <v>102</v>
      </c>
      <c r="G9" s="97" t="s">
        <v>63</v>
      </c>
      <c r="H9" s="142"/>
      <c r="I9" s="93"/>
      <c r="J9" s="121"/>
      <c r="K9" s="93"/>
      <c r="L9" s="93"/>
    </row>
    <row r="10" spans="1:12">
      <c r="A10" s="120"/>
      <c r="B10" s="97" t="s">
        <v>58</v>
      </c>
      <c r="C10" s="141">
        <v>8</v>
      </c>
      <c r="D10" s="141">
        <v>12</v>
      </c>
      <c r="E10" s="97" t="s">
        <v>58</v>
      </c>
      <c r="F10" s="97" t="s">
        <v>105</v>
      </c>
      <c r="G10" s="97" t="s">
        <v>60</v>
      </c>
      <c r="H10" s="142"/>
      <c r="I10" s="93"/>
      <c r="J10" s="121"/>
      <c r="K10" s="93"/>
      <c r="L10" s="93"/>
    </row>
    <row r="11" spans="1:12">
      <c r="A11" s="120"/>
      <c r="B11" s="97" t="s">
        <v>71</v>
      </c>
      <c r="C11" s="141">
        <v>11</v>
      </c>
      <c r="D11" s="141">
        <v>0</v>
      </c>
      <c r="E11" s="97" t="s">
        <v>71</v>
      </c>
      <c r="F11" s="97" t="s">
        <v>32</v>
      </c>
      <c r="G11" s="97" t="s">
        <v>60</v>
      </c>
      <c r="H11" s="142"/>
      <c r="I11" s="93"/>
      <c r="J11" s="121"/>
      <c r="K11" s="93"/>
      <c r="L11" s="93"/>
    </row>
    <row r="12" spans="1:12">
      <c r="A12" s="120"/>
      <c r="B12" s="97" t="s">
        <v>113</v>
      </c>
      <c r="C12" s="141">
        <v>12</v>
      </c>
      <c r="D12" s="141">
        <v>100</v>
      </c>
      <c r="E12" s="97" t="s">
        <v>113</v>
      </c>
      <c r="F12" s="97" t="s">
        <v>120</v>
      </c>
      <c r="G12" s="97" t="s">
        <v>60</v>
      </c>
      <c r="H12" s="142"/>
      <c r="I12" s="93"/>
      <c r="J12" s="121"/>
      <c r="K12" s="93"/>
      <c r="L12" s="93"/>
    </row>
    <row r="13" spans="1:12">
      <c r="A13" s="120"/>
      <c r="B13" s="97" t="s">
        <v>114</v>
      </c>
      <c r="C13" s="141">
        <v>14</v>
      </c>
      <c r="D13" s="141">
        <v>50</v>
      </c>
      <c r="E13" s="97" t="s">
        <v>121</v>
      </c>
      <c r="F13" s="97" t="s">
        <v>122</v>
      </c>
      <c r="G13" s="97" t="s">
        <v>60</v>
      </c>
      <c r="H13" s="142"/>
      <c r="I13" s="93"/>
      <c r="J13" s="121"/>
      <c r="K13" s="93"/>
      <c r="L13" s="93"/>
    </row>
    <row r="14" spans="1:12">
      <c r="A14" s="120"/>
      <c r="B14" s="97" t="s">
        <v>72</v>
      </c>
      <c r="C14" s="141">
        <v>65534</v>
      </c>
      <c r="D14" s="141">
        <v>65534</v>
      </c>
      <c r="E14" s="97" t="s">
        <v>73</v>
      </c>
      <c r="F14" s="97" t="s">
        <v>106</v>
      </c>
      <c r="G14" s="97" t="s">
        <v>60</v>
      </c>
      <c r="H14" s="142"/>
      <c r="I14" s="93"/>
      <c r="J14" s="121"/>
      <c r="K14" s="93"/>
      <c r="L14" s="93"/>
    </row>
    <row r="15" spans="1:12">
      <c r="A15" s="120"/>
      <c r="B15" s="97" t="s">
        <v>74</v>
      </c>
      <c r="C15" s="141">
        <v>81</v>
      </c>
      <c r="D15" s="141">
        <v>81</v>
      </c>
      <c r="E15" s="97" t="s">
        <v>75</v>
      </c>
      <c r="F15" s="97" t="s">
        <v>106</v>
      </c>
      <c r="G15" s="97" t="s">
        <v>60</v>
      </c>
      <c r="H15" s="142"/>
      <c r="I15" s="93"/>
      <c r="J15" s="121"/>
      <c r="K15" s="93"/>
      <c r="L15" s="93"/>
    </row>
    <row r="16" spans="1:12">
      <c r="A16" s="120"/>
      <c r="B16" s="97" t="s">
        <v>76</v>
      </c>
      <c r="C16" s="141">
        <v>999</v>
      </c>
      <c r="D16" s="141">
        <v>997</v>
      </c>
      <c r="E16" s="97" t="s">
        <v>77</v>
      </c>
      <c r="F16" s="97" t="s">
        <v>106</v>
      </c>
      <c r="G16" s="97" t="s">
        <v>60</v>
      </c>
      <c r="H16" s="142"/>
      <c r="I16" s="93"/>
      <c r="J16" s="121"/>
      <c r="K16" s="93"/>
      <c r="L16" s="93"/>
    </row>
    <row r="17" spans="1:12">
      <c r="A17" s="120"/>
      <c r="B17" s="97" t="s">
        <v>78</v>
      </c>
      <c r="C17" s="141">
        <v>193</v>
      </c>
      <c r="D17" s="141">
        <v>193</v>
      </c>
      <c r="E17" s="97" t="s">
        <v>79</v>
      </c>
      <c r="F17" s="97" t="s">
        <v>106</v>
      </c>
      <c r="G17" s="97" t="s">
        <v>60</v>
      </c>
      <c r="H17" s="142"/>
      <c r="I17" s="93"/>
      <c r="J17" s="121"/>
      <c r="K17" s="93"/>
      <c r="L17" s="93"/>
    </row>
    <row r="18" spans="1:12">
      <c r="A18" s="120"/>
      <c r="B18" s="97" t="s">
        <v>80</v>
      </c>
      <c r="C18" s="141">
        <v>59</v>
      </c>
      <c r="D18" s="141">
        <v>59</v>
      </c>
      <c r="E18" s="97" t="s">
        <v>81</v>
      </c>
      <c r="F18" s="97" t="s">
        <v>99</v>
      </c>
      <c r="G18" s="97" t="s">
        <v>60</v>
      </c>
      <c r="H18" s="142"/>
      <c r="I18" s="93"/>
      <c r="J18" s="121"/>
      <c r="K18" s="93"/>
      <c r="L18" s="93"/>
    </row>
    <row r="19" spans="1:12">
      <c r="A19" s="120"/>
      <c r="B19" s="97" t="s">
        <v>82</v>
      </c>
      <c r="C19" s="141">
        <v>998</v>
      </c>
      <c r="D19" s="141">
        <v>996</v>
      </c>
      <c r="E19" s="97" t="s">
        <v>83</v>
      </c>
      <c r="F19" s="97" t="s">
        <v>106</v>
      </c>
      <c r="G19" s="97" t="s">
        <v>60</v>
      </c>
      <c r="H19" s="142"/>
      <c r="I19" s="93"/>
      <c r="J19" s="121"/>
      <c r="K19" s="93"/>
      <c r="L19" s="93"/>
    </row>
    <row r="20" spans="1:12">
      <c r="A20" s="120"/>
      <c r="B20" s="97" t="s">
        <v>84</v>
      </c>
      <c r="C20" s="141">
        <v>997</v>
      </c>
      <c r="D20" s="141">
        <v>994</v>
      </c>
      <c r="E20" s="97" t="s">
        <v>85</v>
      </c>
      <c r="F20" s="97" t="s">
        <v>100</v>
      </c>
      <c r="G20" s="97" t="s">
        <v>60</v>
      </c>
      <c r="H20" s="142"/>
      <c r="I20" s="93"/>
      <c r="J20" s="121"/>
      <c r="K20" s="93"/>
      <c r="L20" s="93"/>
    </row>
    <row r="21" spans="1:12">
      <c r="A21" s="120"/>
      <c r="B21" s="97" t="s">
        <v>123</v>
      </c>
      <c r="C21" s="141">
        <v>996</v>
      </c>
      <c r="D21" s="141">
        <v>992</v>
      </c>
      <c r="E21" s="97" t="s">
        <v>124</v>
      </c>
      <c r="F21" s="97" t="s">
        <v>125</v>
      </c>
      <c r="G21" s="97" t="s">
        <v>60</v>
      </c>
      <c r="H21" s="142"/>
      <c r="I21" s="93"/>
      <c r="J21" s="121"/>
      <c r="K21" s="93"/>
      <c r="L21" s="93"/>
    </row>
    <row r="22" spans="1:12">
      <c r="A22" s="120"/>
      <c r="B22" s="97" t="s">
        <v>126</v>
      </c>
      <c r="C22" s="141">
        <v>995</v>
      </c>
      <c r="D22" s="141">
        <v>991</v>
      </c>
      <c r="E22" s="97"/>
      <c r="F22" s="97" t="s">
        <v>127</v>
      </c>
      <c r="G22" s="97" t="s">
        <v>60</v>
      </c>
      <c r="H22" s="142"/>
      <c r="I22" s="93"/>
      <c r="J22" s="121"/>
      <c r="K22" s="93"/>
      <c r="L22" s="93"/>
    </row>
    <row r="23" spans="1:12">
      <c r="A23" s="120"/>
      <c r="B23" s="97" t="s">
        <v>128</v>
      </c>
      <c r="C23" s="141">
        <v>994</v>
      </c>
      <c r="D23" s="141">
        <v>990</v>
      </c>
      <c r="E23" s="97" t="s">
        <v>129</v>
      </c>
      <c r="F23" s="97" t="s">
        <v>130</v>
      </c>
      <c r="G23" s="97" t="s">
        <v>60</v>
      </c>
      <c r="H23" s="142"/>
      <c r="I23" s="93"/>
      <c r="J23" s="121"/>
      <c r="K23" s="93"/>
      <c r="L23" s="93"/>
    </row>
    <row r="24" spans="1:12">
      <c r="A24" s="120"/>
      <c r="B24" s="97" t="s">
        <v>131</v>
      </c>
      <c r="C24" s="141">
        <v>993</v>
      </c>
      <c r="D24" s="141">
        <v>989</v>
      </c>
      <c r="E24" s="97" t="s">
        <v>132</v>
      </c>
      <c r="F24" s="97" t="s">
        <v>130</v>
      </c>
      <c r="G24" s="97" t="s">
        <v>60</v>
      </c>
      <c r="H24" s="142"/>
      <c r="I24" s="93"/>
      <c r="J24" s="121"/>
      <c r="K24" s="93"/>
      <c r="L24" s="93"/>
    </row>
    <row r="25" spans="1:12">
      <c r="A25" s="120"/>
      <c r="B25" s="97" t="s">
        <v>86</v>
      </c>
      <c r="C25" s="141">
        <v>992</v>
      </c>
      <c r="D25" s="141">
        <v>988</v>
      </c>
      <c r="E25" s="97" t="s">
        <v>87</v>
      </c>
      <c r="F25" s="97" t="s">
        <v>106</v>
      </c>
      <c r="G25" s="97" t="s">
        <v>60</v>
      </c>
      <c r="H25" s="142"/>
      <c r="I25" s="93"/>
      <c r="J25" s="121"/>
      <c r="K25" s="93"/>
      <c r="L25" s="93"/>
    </row>
    <row r="26" spans="1:12">
      <c r="A26" s="131"/>
      <c r="B26" s="132" t="s">
        <v>133</v>
      </c>
      <c r="C26" s="145">
        <v>991</v>
      </c>
      <c r="D26" s="145">
        <v>987</v>
      </c>
      <c r="E26" s="132" t="s">
        <v>134</v>
      </c>
      <c r="F26" s="132" t="s">
        <v>135</v>
      </c>
      <c r="G26" s="132" t="s">
        <v>60</v>
      </c>
      <c r="H26" s="146"/>
      <c r="I26" s="95"/>
      <c r="J26" s="147"/>
      <c r="K26" s="95"/>
      <c r="L26" s="95"/>
    </row>
  </sheetData>
  <phoneticPr fontId="24" type="noConversion"/>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6DB4-F303-4914-BA9C-FDC50CF8F982}">
  <dimension ref="A1:F20"/>
  <sheetViews>
    <sheetView topLeftCell="A7" zoomScaleNormal="100" workbookViewId="0">
      <selection activeCell="R14" sqref="R14"/>
    </sheetView>
  </sheetViews>
  <sheetFormatPr defaultColWidth="9.140625" defaultRowHeight="15"/>
  <cols>
    <col min="1" max="1" width="18.42578125" style="1" bestFit="1" customWidth="1"/>
    <col min="2" max="2" width="7.42578125" style="1" bestFit="1" customWidth="1"/>
    <col min="3" max="3" width="8.85546875" style="1" bestFit="1" customWidth="1"/>
    <col min="4" max="4" width="25.7109375" style="1" bestFit="1" customWidth="1"/>
    <col min="5" max="5" width="14" style="1" bestFit="1" customWidth="1"/>
    <col min="6" max="6" width="25.7109375" style="1" bestFit="1" customWidth="1"/>
    <col min="7" max="16384" width="9.140625" style="1"/>
  </cols>
  <sheetData>
    <row r="1" spans="1:6">
      <c r="A1" s="20" t="s">
        <v>43</v>
      </c>
      <c r="B1" s="20" t="s">
        <v>42</v>
      </c>
      <c r="C1" s="20" t="s">
        <v>41</v>
      </c>
      <c r="D1" s="20" t="s">
        <v>40</v>
      </c>
      <c r="E1" s="20" t="s">
        <v>39</v>
      </c>
      <c r="F1" s="20" t="s">
        <v>38</v>
      </c>
    </row>
    <row r="2" spans="1:6">
      <c r="A2" s="15" t="s">
        <v>33</v>
      </c>
      <c r="B2" s="15">
        <v>0</v>
      </c>
      <c r="C2" s="15">
        <v>0</v>
      </c>
      <c r="D2" s="15" t="s">
        <v>33</v>
      </c>
      <c r="E2" s="15" t="s">
        <v>59</v>
      </c>
      <c r="F2" s="15" t="s">
        <v>32</v>
      </c>
    </row>
    <row r="3" spans="1:6">
      <c r="A3" s="1" t="s">
        <v>64</v>
      </c>
      <c r="B3" s="1">
        <v>1</v>
      </c>
      <c r="C3" s="1">
        <v>1</v>
      </c>
      <c r="D3" s="1" t="s">
        <v>64</v>
      </c>
      <c r="E3" s="1" t="s">
        <v>60</v>
      </c>
      <c r="F3" s="1" t="s">
        <v>101</v>
      </c>
    </row>
    <row r="4" spans="1:6">
      <c r="A4" s="1" t="s">
        <v>65</v>
      </c>
      <c r="B4" s="1">
        <v>2</v>
      </c>
      <c r="C4" s="1">
        <v>2</v>
      </c>
      <c r="D4" s="1" t="s">
        <v>65</v>
      </c>
      <c r="E4" s="1" t="s">
        <v>60</v>
      </c>
      <c r="F4" s="1" t="s">
        <v>102</v>
      </c>
    </row>
    <row r="5" spans="1:6">
      <c r="A5" s="1" t="s">
        <v>66</v>
      </c>
      <c r="B5" s="1">
        <v>3</v>
      </c>
      <c r="C5" s="1">
        <v>4</v>
      </c>
      <c r="D5" s="1" t="s">
        <v>66</v>
      </c>
      <c r="E5" s="1" t="s">
        <v>60</v>
      </c>
      <c r="F5" s="1" t="s">
        <v>103</v>
      </c>
    </row>
    <row r="6" spans="1:6">
      <c r="A6" s="1" t="s">
        <v>67</v>
      </c>
      <c r="B6" s="1">
        <v>4</v>
      </c>
      <c r="C6" s="1">
        <v>7</v>
      </c>
      <c r="D6" s="1" t="s">
        <v>67</v>
      </c>
      <c r="E6" s="1" t="s">
        <v>60</v>
      </c>
      <c r="F6" s="1" t="s">
        <v>104</v>
      </c>
    </row>
    <row r="7" spans="1:6">
      <c r="A7" s="1" t="s">
        <v>68</v>
      </c>
      <c r="B7" s="1">
        <v>5</v>
      </c>
      <c r="C7" s="1">
        <v>0</v>
      </c>
      <c r="D7" s="1" t="s">
        <v>68</v>
      </c>
      <c r="E7" s="1" t="s">
        <v>61</v>
      </c>
      <c r="F7" s="1" t="s">
        <v>102</v>
      </c>
    </row>
    <row r="8" spans="1:6">
      <c r="A8" s="1" t="s">
        <v>69</v>
      </c>
      <c r="B8" s="1">
        <v>6</v>
      </c>
      <c r="C8" s="1">
        <v>0</v>
      </c>
      <c r="D8" s="1" t="s">
        <v>69</v>
      </c>
      <c r="E8" s="1" t="s">
        <v>62</v>
      </c>
      <c r="F8" s="1" t="s">
        <v>102</v>
      </c>
    </row>
    <row r="9" spans="1:6">
      <c r="A9" s="1" t="s">
        <v>70</v>
      </c>
      <c r="B9" s="1">
        <v>7</v>
      </c>
      <c r="C9" s="1">
        <v>0</v>
      </c>
      <c r="D9" s="1" t="s">
        <v>70</v>
      </c>
      <c r="E9" s="1" t="s">
        <v>63</v>
      </c>
      <c r="F9" s="1" t="s">
        <v>102</v>
      </c>
    </row>
    <row r="10" spans="1:6">
      <c r="A10" s="1" t="s">
        <v>58</v>
      </c>
      <c r="B10" s="1">
        <v>8</v>
      </c>
      <c r="C10" s="1">
        <v>12</v>
      </c>
      <c r="D10" s="1" t="s">
        <v>58</v>
      </c>
      <c r="E10" s="1" t="s">
        <v>60</v>
      </c>
      <c r="F10" s="1" t="s">
        <v>105</v>
      </c>
    </row>
    <row r="11" spans="1:6">
      <c r="A11" s="1" t="s">
        <v>71</v>
      </c>
      <c r="B11" s="1">
        <v>11</v>
      </c>
      <c r="C11" s="1">
        <v>0</v>
      </c>
      <c r="D11" s="1" t="s">
        <v>71</v>
      </c>
      <c r="E11" s="1" t="s">
        <v>60</v>
      </c>
      <c r="F11" s="1" t="s">
        <v>32</v>
      </c>
    </row>
    <row r="12" spans="1:6">
      <c r="A12" s="1" t="s">
        <v>72</v>
      </c>
      <c r="B12" s="1">
        <v>65534</v>
      </c>
      <c r="C12" s="1">
        <v>65534</v>
      </c>
      <c r="D12" s="1" t="s">
        <v>73</v>
      </c>
      <c r="E12" s="1" t="s">
        <v>60</v>
      </c>
      <c r="F12" s="1" t="s">
        <v>106</v>
      </c>
    </row>
    <row r="13" spans="1:6">
      <c r="A13" s="1" t="s">
        <v>74</v>
      </c>
      <c r="B13" s="1">
        <v>81</v>
      </c>
      <c r="C13" s="1">
        <v>81</v>
      </c>
      <c r="D13" s="1" t="s">
        <v>75</v>
      </c>
      <c r="E13" s="1" t="s">
        <v>60</v>
      </c>
      <c r="F13" s="1" t="s">
        <v>106</v>
      </c>
    </row>
    <row r="14" spans="1:6">
      <c r="A14" s="1" t="s">
        <v>76</v>
      </c>
      <c r="B14" s="1">
        <v>999</v>
      </c>
      <c r="C14" s="1">
        <v>997</v>
      </c>
      <c r="D14" s="1" t="s">
        <v>77</v>
      </c>
      <c r="E14" s="1" t="s">
        <v>60</v>
      </c>
      <c r="F14" s="1" t="s">
        <v>106</v>
      </c>
    </row>
    <row r="15" spans="1:6">
      <c r="A15" s="1" t="s">
        <v>78</v>
      </c>
      <c r="B15" s="1">
        <v>193</v>
      </c>
      <c r="C15" s="1">
        <v>193</v>
      </c>
      <c r="D15" s="1" t="s">
        <v>79</v>
      </c>
      <c r="E15" s="1" t="s">
        <v>60</v>
      </c>
      <c r="F15" s="1" t="s">
        <v>106</v>
      </c>
    </row>
    <row r="16" spans="1:6">
      <c r="A16" s="1" t="s">
        <v>80</v>
      </c>
      <c r="B16" s="1">
        <v>59</v>
      </c>
      <c r="C16" s="1">
        <v>59</v>
      </c>
      <c r="D16" s="1" t="s">
        <v>81</v>
      </c>
      <c r="E16" s="1" t="s">
        <v>60</v>
      </c>
      <c r="F16" s="1" t="s">
        <v>99</v>
      </c>
    </row>
    <row r="17" spans="1:6">
      <c r="A17" s="1" t="s">
        <v>82</v>
      </c>
      <c r="B17" s="1">
        <v>998</v>
      </c>
      <c r="C17" s="1">
        <v>996</v>
      </c>
      <c r="D17" s="1" t="s">
        <v>83</v>
      </c>
      <c r="E17" s="1" t="s">
        <v>60</v>
      </c>
      <c r="F17" s="1" t="s">
        <v>106</v>
      </c>
    </row>
    <row r="18" spans="1:6">
      <c r="A18" s="1" t="s">
        <v>84</v>
      </c>
      <c r="B18" s="1">
        <v>997</v>
      </c>
      <c r="C18" s="1">
        <v>994</v>
      </c>
      <c r="D18" s="1" t="s">
        <v>85</v>
      </c>
      <c r="E18" s="1" t="s">
        <v>60</v>
      </c>
      <c r="F18" s="1" t="s">
        <v>100</v>
      </c>
    </row>
    <row r="19" spans="1:6">
      <c r="A19" s="1" t="s">
        <v>86</v>
      </c>
      <c r="B19" s="1">
        <v>996</v>
      </c>
      <c r="C19" s="1">
        <v>993</v>
      </c>
      <c r="D19" s="1" t="s">
        <v>87</v>
      </c>
      <c r="E19" s="1" t="s">
        <v>60</v>
      </c>
      <c r="F19" s="1" t="s">
        <v>106</v>
      </c>
    </row>
    <row r="20" spans="1:6">
      <c r="A20" s="1" t="s">
        <v>88</v>
      </c>
      <c r="B20" s="1">
        <v>74</v>
      </c>
      <c r="C20" s="1">
        <v>74</v>
      </c>
      <c r="D20" s="1" t="s">
        <v>89</v>
      </c>
      <c r="E20" s="1" t="s">
        <v>60</v>
      </c>
      <c r="F20" s="1" t="s">
        <v>107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9C70-0CC5-4607-A820-DFF178A9C69E}">
  <dimension ref="A1:G3"/>
  <sheetViews>
    <sheetView zoomScaleNormal="100" workbookViewId="0">
      <selection activeCell="R14" sqref="R14"/>
    </sheetView>
  </sheetViews>
  <sheetFormatPr defaultColWidth="9.140625" defaultRowHeight="15"/>
  <cols>
    <col min="1" max="1" width="11.28515625" style="1" bestFit="1" customWidth="1"/>
    <col min="2" max="2" width="10.28515625" style="1" bestFit="1" customWidth="1"/>
    <col min="3" max="3" width="9.140625" style="1"/>
    <col min="4" max="4" width="8.42578125" style="1" bestFit="1" customWidth="1"/>
    <col min="5" max="5" width="27.28515625" style="1" bestFit="1" customWidth="1"/>
    <col min="6" max="6" width="16" style="1" bestFit="1" customWidth="1"/>
    <col min="7" max="7" width="15" style="1" bestFit="1" customWidth="1"/>
    <col min="8" max="16384" width="9.140625" style="1"/>
  </cols>
  <sheetData>
    <row r="1" spans="1:7" s="3" customFormat="1">
      <c r="A1" s="20" t="s">
        <v>46</v>
      </c>
      <c r="B1" s="20" t="s">
        <v>43</v>
      </c>
      <c r="C1" s="20" t="s">
        <v>42</v>
      </c>
      <c r="D1" s="20" t="s">
        <v>41</v>
      </c>
      <c r="E1" s="20" t="s">
        <v>40</v>
      </c>
      <c r="F1" s="20" t="s">
        <v>39</v>
      </c>
      <c r="G1" s="20" t="s">
        <v>38</v>
      </c>
    </row>
    <row r="2" spans="1:7">
      <c r="A2" s="15" t="s">
        <v>57</v>
      </c>
      <c r="B2" s="15" t="s">
        <v>45</v>
      </c>
      <c r="C2" s="15">
        <v>33</v>
      </c>
      <c r="D2" s="15">
        <v>33</v>
      </c>
      <c r="E2" s="15" t="s">
        <v>90</v>
      </c>
      <c r="F2" s="15" t="s">
        <v>60</v>
      </c>
      <c r="G2" s="15" t="s">
        <v>91</v>
      </c>
    </row>
    <row r="3" spans="1:7">
      <c r="A3" s="15" t="s">
        <v>92</v>
      </c>
      <c r="B3" s="15" t="s">
        <v>44</v>
      </c>
      <c r="C3" s="15">
        <v>500001</v>
      </c>
      <c r="D3" s="15">
        <v>500001</v>
      </c>
      <c r="E3" s="15" t="s">
        <v>93</v>
      </c>
      <c r="F3" s="15" t="s">
        <v>59</v>
      </c>
      <c r="G3" s="15" t="s">
        <v>94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EEE3-E848-466D-8FA7-4043809CACE4}">
  <dimension ref="A1:G7"/>
  <sheetViews>
    <sheetView zoomScaleNormal="100" workbookViewId="0">
      <selection activeCell="F14" sqref="F14"/>
    </sheetView>
  </sheetViews>
  <sheetFormatPr defaultColWidth="9.140625" defaultRowHeight="15"/>
  <cols>
    <col min="1" max="7" width="24.7109375" style="1" customWidth="1"/>
    <col min="8" max="16384" width="9.140625" style="1"/>
  </cols>
  <sheetData>
    <row r="1" spans="1:7" s="3" customFormat="1">
      <c r="A1" s="118" t="s">
        <v>23</v>
      </c>
      <c r="B1" s="112" t="s">
        <v>52</v>
      </c>
      <c r="C1" s="112" t="s">
        <v>51</v>
      </c>
      <c r="D1" s="112" t="s">
        <v>50</v>
      </c>
      <c r="E1" s="112" t="s">
        <v>34</v>
      </c>
      <c r="F1" s="112" t="s">
        <v>35</v>
      </c>
      <c r="G1" s="135" t="s">
        <v>210</v>
      </c>
    </row>
    <row r="2" spans="1:7">
      <c r="A2" s="120"/>
      <c r="B2" s="96" t="s">
        <v>115</v>
      </c>
      <c r="C2" s="96"/>
      <c r="D2" s="96" t="s">
        <v>117</v>
      </c>
      <c r="E2" s="96"/>
      <c r="F2" s="96"/>
      <c r="G2" s="136"/>
    </row>
    <row r="3" spans="1:7">
      <c r="A3" s="120"/>
      <c r="B3" s="96"/>
      <c r="C3" s="96" t="s">
        <v>117</v>
      </c>
      <c r="D3" s="96" t="s">
        <v>117</v>
      </c>
      <c r="E3" s="96"/>
      <c r="F3" s="96"/>
      <c r="G3" s="136"/>
    </row>
    <row r="4" spans="1:7">
      <c r="A4" s="120"/>
      <c r="B4" s="96" t="s">
        <v>115</v>
      </c>
      <c r="C4" s="96"/>
      <c r="D4" s="96" t="s">
        <v>117</v>
      </c>
      <c r="E4" s="96"/>
      <c r="F4" s="96"/>
      <c r="G4" s="136"/>
    </row>
    <row r="5" spans="1:7">
      <c r="A5" s="120"/>
      <c r="B5" s="96"/>
      <c r="C5" s="96" t="s">
        <v>117</v>
      </c>
      <c r="D5" s="96" t="s">
        <v>117</v>
      </c>
      <c r="E5" s="96"/>
      <c r="F5" s="96"/>
      <c r="G5" s="136"/>
    </row>
    <row r="6" spans="1:7">
      <c r="A6" s="120"/>
      <c r="B6" s="96" t="s">
        <v>115</v>
      </c>
      <c r="C6" s="96"/>
      <c r="D6" s="96" t="s">
        <v>117</v>
      </c>
      <c r="E6" s="96"/>
      <c r="F6" s="96"/>
      <c r="G6" s="136"/>
    </row>
    <row r="7" spans="1:7">
      <c r="A7" s="131"/>
      <c r="B7" s="137"/>
      <c r="C7" s="137" t="s">
        <v>117</v>
      </c>
      <c r="D7" s="137" t="s">
        <v>117</v>
      </c>
      <c r="E7" s="137"/>
      <c r="F7" s="137"/>
      <c r="G7" s="138"/>
    </row>
  </sheetData>
  <phoneticPr fontId="24"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022E9-8BF8-4D4D-9D32-F0C6E635F703}">
  <dimension ref="A1:G10"/>
  <sheetViews>
    <sheetView zoomScaleNormal="100" workbookViewId="0">
      <selection activeCell="G17" sqref="G17"/>
    </sheetView>
  </sheetViews>
  <sheetFormatPr defaultColWidth="9.140625" defaultRowHeight="15"/>
  <cols>
    <col min="1" max="1" width="25" style="1" customWidth="1"/>
    <col min="2" max="2" width="16.85546875" style="1" bestFit="1" customWidth="1"/>
    <col min="3" max="3" width="8.85546875" style="1" bestFit="1" customWidth="1"/>
    <col min="4" max="4" width="19.42578125" style="1" bestFit="1" customWidth="1"/>
    <col min="5" max="5" width="48" style="14" bestFit="1" customWidth="1"/>
    <col min="6" max="6" width="20.85546875" style="14" bestFit="1" customWidth="1"/>
    <col min="7" max="7" width="20.7109375" style="14" bestFit="1" customWidth="1"/>
    <col min="8" max="16384" width="9.140625" style="1"/>
  </cols>
  <sheetData>
    <row r="1" spans="1:7" s="3" customFormat="1">
      <c r="A1" s="118" t="s">
        <v>23</v>
      </c>
      <c r="B1" s="112" t="s">
        <v>49</v>
      </c>
      <c r="C1" s="112" t="s">
        <v>48</v>
      </c>
      <c r="D1" s="112" t="s">
        <v>47</v>
      </c>
      <c r="E1" s="113" t="s">
        <v>34</v>
      </c>
      <c r="F1" s="113" t="s">
        <v>35</v>
      </c>
      <c r="G1" s="114" t="s">
        <v>210</v>
      </c>
    </row>
    <row r="2" spans="1:7" ht="90">
      <c r="A2" s="120"/>
      <c r="B2" s="97"/>
      <c r="C2" s="97"/>
      <c r="D2" s="97"/>
      <c r="E2" s="98" t="s">
        <v>334</v>
      </c>
      <c r="F2" s="98"/>
      <c r="G2" s="130"/>
    </row>
    <row r="3" spans="1:7">
      <c r="A3" s="120"/>
      <c r="B3" s="97"/>
      <c r="C3" s="97"/>
      <c r="D3" s="97"/>
      <c r="E3" s="98"/>
      <c r="F3" s="98"/>
      <c r="G3" s="130"/>
    </row>
    <row r="4" spans="1:7">
      <c r="A4" s="120"/>
      <c r="B4" s="97"/>
      <c r="C4" s="97"/>
      <c r="D4" s="97"/>
      <c r="E4" s="98"/>
      <c r="F4" s="98"/>
      <c r="G4" s="130"/>
    </row>
    <row r="5" spans="1:7">
      <c r="A5" s="120"/>
      <c r="B5" s="97"/>
      <c r="C5" s="97"/>
      <c r="D5" s="97"/>
      <c r="E5" s="98"/>
      <c r="F5" s="98"/>
      <c r="G5" s="130"/>
    </row>
    <row r="6" spans="1:7" ht="60">
      <c r="A6" s="120"/>
      <c r="B6" s="97"/>
      <c r="C6" s="97"/>
      <c r="D6" s="97"/>
      <c r="E6" s="98" t="s">
        <v>335</v>
      </c>
      <c r="F6" s="98"/>
      <c r="G6" s="130"/>
    </row>
    <row r="7" spans="1:7">
      <c r="A7" s="120"/>
      <c r="B7" s="97"/>
      <c r="C7" s="97"/>
      <c r="D7" s="97"/>
      <c r="E7" s="98"/>
      <c r="F7" s="98"/>
      <c r="G7" s="130"/>
    </row>
    <row r="8" spans="1:7">
      <c r="A8" s="120"/>
      <c r="B8" s="97"/>
      <c r="C8" s="97"/>
      <c r="D8" s="97"/>
      <c r="E8" s="98"/>
      <c r="F8" s="98"/>
      <c r="G8" s="130"/>
    </row>
    <row r="9" spans="1:7">
      <c r="A9" s="120"/>
      <c r="B9" s="97"/>
      <c r="C9" s="97"/>
      <c r="D9" s="97"/>
      <c r="E9" s="98"/>
      <c r="F9" s="98"/>
      <c r="G9" s="130"/>
    </row>
    <row r="10" spans="1:7">
      <c r="A10" s="131"/>
      <c r="B10" s="132"/>
      <c r="C10" s="132"/>
      <c r="D10" s="132"/>
      <c r="E10" s="133"/>
      <c r="F10" s="133"/>
      <c r="G10" s="134"/>
    </row>
  </sheetData>
  <phoneticPr fontId="24" type="noConversion"/>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9E28-ED22-49DC-91CD-F30838C8F80D}">
  <dimension ref="A1:E19"/>
  <sheetViews>
    <sheetView zoomScale="80" zoomScaleNormal="80" workbookViewId="0">
      <selection activeCell="B2" sqref="B2:B19"/>
    </sheetView>
  </sheetViews>
  <sheetFormatPr defaultColWidth="9.28515625" defaultRowHeight="15"/>
  <cols>
    <col min="1" max="1" width="30.28515625" style="14" customWidth="1"/>
    <col min="2" max="2" width="45.5703125" style="90" customWidth="1"/>
    <col min="3" max="3" width="43.7109375" style="89" customWidth="1"/>
    <col min="4" max="4" width="28.7109375" style="89" customWidth="1"/>
    <col min="5" max="5" width="23.7109375" style="89" customWidth="1"/>
    <col min="6" max="16384" width="9.28515625" style="89"/>
  </cols>
  <sheetData>
    <row r="1" spans="1:5" ht="45" customHeight="1">
      <c r="A1" s="128" t="s">
        <v>54</v>
      </c>
      <c r="B1" s="94" t="s">
        <v>55</v>
      </c>
      <c r="C1" s="129" t="s">
        <v>34</v>
      </c>
      <c r="D1" s="89" t="s">
        <v>35</v>
      </c>
      <c r="E1" s="89" t="s">
        <v>210</v>
      </c>
    </row>
    <row r="2" spans="1:5">
      <c r="A2" s="127">
        <v>1</v>
      </c>
      <c r="B2" s="91" t="s">
        <v>333</v>
      </c>
      <c r="C2" s="93"/>
      <c r="D2" s="93"/>
      <c r="E2" s="93"/>
    </row>
    <row r="3" spans="1:5">
      <c r="A3" s="127">
        <v>2</v>
      </c>
      <c r="B3" s="91" t="s">
        <v>332</v>
      </c>
      <c r="C3" s="93"/>
      <c r="D3" s="93"/>
      <c r="E3" s="93"/>
    </row>
    <row r="4" spans="1:5">
      <c r="A4" s="127">
        <v>3</v>
      </c>
      <c r="B4" s="91" t="s">
        <v>331</v>
      </c>
      <c r="C4" s="93"/>
      <c r="D4" s="93"/>
      <c r="E4" s="93"/>
    </row>
    <row r="5" spans="1:5">
      <c r="A5" s="127">
        <v>4</v>
      </c>
      <c r="B5" s="91" t="s">
        <v>330</v>
      </c>
      <c r="C5" s="93"/>
      <c r="D5" s="93"/>
      <c r="E5" s="93"/>
    </row>
    <row r="6" spans="1:5">
      <c r="A6" s="127">
        <v>5</v>
      </c>
      <c r="B6" s="91" t="s">
        <v>329</v>
      </c>
      <c r="C6" s="93"/>
      <c r="D6" s="93"/>
      <c r="E6" s="93"/>
    </row>
    <row r="7" spans="1:5">
      <c r="A7" s="127">
        <v>7</v>
      </c>
      <c r="B7" s="91" t="s">
        <v>328</v>
      </c>
      <c r="C7" s="93"/>
      <c r="D7" s="93"/>
      <c r="E7" s="93"/>
    </row>
    <row r="8" spans="1:5">
      <c r="A8" s="127">
        <v>10</v>
      </c>
      <c r="B8" s="91" t="s">
        <v>327</v>
      </c>
      <c r="C8" s="93"/>
      <c r="D8" s="93"/>
      <c r="E8" s="93"/>
    </row>
    <row r="9" spans="1:5">
      <c r="A9" s="127">
        <v>11</v>
      </c>
      <c r="B9" s="91" t="s">
        <v>326</v>
      </c>
      <c r="C9" s="93"/>
      <c r="D9" s="93"/>
      <c r="E9" s="93"/>
    </row>
    <row r="10" spans="1:5">
      <c r="A10" s="127">
        <v>12</v>
      </c>
      <c r="B10" s="91" t="s">
        <v>325</v>
      </c>
      <c r="C10" s="93"/>
      <c r="D10" s="93"/>
      <c r="E10" s="93"/>
    </row>
    <row r="11" spans="1:5">
      <c r="A11" s="127">
        <v>13</v>
      </c>
      <c r="B11" s="91" t="s">
        <v>324</v>
      </c>
      <c r="C11" s="93"/>
      <c r="D11" s="93"/>
      <c r="E11" s="93"/>
    </row>
    <row r="12" spans="1:5">
      <c r="A12" s="127">
        <v>14</v>
      </c>
      <c r="B12" s="91" t="s">
        <v>323</v>
      </c>
      <c r="C12" s="93"/>
      <c r="D12" s="93"/>
      <c r="E12" s="93"/>
    </row>
    <row r="13" spans="1:5">
      <c r="A13" s="127">
        <v>15</v>
      </c>
      <c r="B13" s="91" t="s">
        <v>322</v>
      </c>
      <c r="C13" s="93"/>
      <c r="D13" s="93"/>
      <c r="E13" s="93"/>
    </row>
    <row r="14" spans="1:5">
      <c r="A14" s="127">
        <v>16</v>
      </c>
      <c r="B14" s="91" t="s">
        <v>321</v>
      </c>
      <c r="C14" s="93"/>
      <c r="D14" s="93"/>
      <c r="E14" s="93"/>
    </row>
    <row r="15" spans="1:5">
      <c r="A15" s="127">
        <v>17</v>
      </c>
      <c r="B15" s="91" t="s">
        <v>320</v>
      </c>
      <c r="C15" s="93"/>
      <c r="D15" s="93"/>
      <c r="E15" s="93"/>
    </row>
    <row r="16" spans="1:5">
      <c r="A16" s="127">
        <v>18</v>
      </c>
      <c r="B16" s="91" t="s">
        <v>319</v>
      </c>
      <c r="C16" s="93"/>
      <c r="D16" s="93"/>
      <c r="E16" s="93"/>
    </row>
    <row r="17" spans="1:5">
      <c r="A17" s="127">
        <v>19</v>
      </c>
      <c r="B17" s="91" t="s">
        <v>318</v>
      </c>
      <c r="C17" s="93"/>
      <c r="D17" s="93"/>
      <c r="E17" s="93"/>
    </row>
    <row r="18" spans="1:5">
      <c r="A18" s="127">
        <v>20</v>
      </c>
      <c r="B18" s="91" t="s">
        <v>317</v>
      </c>
      <c r="C18" s="93"/>
      <c r="D18" s="93"/>
      <c r="E18" s="93"/>
    </row>
    <row r="19" spans="1:5">
      <c r="A19" s="124">
        <v>21</v>
      </c>
      <c r="B19" s="126" t="s">
        <v>316</v>
      </c>
      <c r="C19" s="95"/>
      <c r="D19" s="95"/>
      <c r="E19" s="95"/>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CAA7-732E-44C1-8C8C-00FDB802D6F8}">
  <dimension ref="A1:E4"/>
  <sheetViews>
    <sheetView zoomScaleNormal="100" workbookViewId="0">
      <selection activeCell="C12" sqref="C12:D12"/>
    </sheetView>
  </sheetViews>
  <sheetFormatPr defaultColWidth="9.140625" defaultRowHeight="15"/>
  <cols>
    <col min="1" max="1" width="9.140625" style="1"/>
    <col min="2" max="2" width="42.85546875" style="1" bestFit="1" customWidth="1"/>
    <col min="3" max="5" width="21" style="1" customWidth="1"/>
    <col min="6" max="16384" width="9.140625" style="1"/>
  </cols>
  <sheetData>
    <row r="1" spans="1:5">
      <c r="A1" s="118" t="s">
        <v>23</v>
      </c>
      <c r="B1" s="112" t="s">
        <v>56</v>
      </c>
      <c r="C1" s="113" t="s">
        <v>34</v>
      </c>
      <c r="D1" s="113" t="s">
        <v>35</v>
      </c>
      <c r="E1" s="114" t="s">
        <v>210</v>
      </c>
    </row>
    <row r="2" spans="1:5">
      <c r="A2" s="110"/>
      <c r="B2" s="109" t="s">
        <v>118</v>
      </c>
      <c r="C2" s="93"/>
      <c r="D2" s="93"/>
      <c r="E2" s="111"/>
    </row>
    <row r="3" spans="1:5">
      <c r="A3" s="110"/>
      <c r="B3" s="109" t="s">
        <v>119</v>
      </c>
      <c r="C3" s="93"/>
      <c r="D3" s="93"/>
      <c r="E3" s="111"/>
    </row>
    <row r="4" spans="1:5">
      <c r="A4" s="115"/>
      <c r="B4" s="116" t="s">
        <v>118</v>
      </c>
      <c r="C4" s="95"/>
      <c r="D4" s="95"/>
      <c r="E4" s="117"/>
    </row>
  </sheetData>
  <phoneticPr fontId="24" type="noConversion"/>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FDAD-78A9-4692-B6FC-F5BDC34C3390}">
  <dimension ref="A1:E17"/>
  <sheetViews>
    <sheetView zoomScale="80" zoomScaleNormal="80" workbookViewId="0">
      <selection sqref="A1:E17"/>
    </sheetView>
  </sheetViews>
  <sheetFormatPr defaultColWidth="8.7109375" defaultRowHeight="15"/>
  <cols>
    <col min="1" max="1" width="46.7109375" style="14" customWidth="1"/>
    <col min="2" max="2" width="52.140625" style="66" customWidth="1"/>
    <col min="3" max="3" width="35.140625" style="14" customWidth="1"/>
    <col min="4" max="4" width="33.28515625" style="14" customWidth="1"/>
    <col min="5" max="5" width="28.7109375" style="14" customWidth="1"/>
    <col min="6" max="16384" width="8.7109375" style="14"/>
  </cols>
  <sheetData>
    <row r="1" spans="1:5">
      <c r="A1" s="119" t="s">
        <v>336</v>
      </c>
      <c r="B1" s="113" t="s">
        <v>96</v>
      </c>
      <c r="C1" s="113" t="s">
        <v>34</v>
      </c>
      <c r="D1" s="113" t="s">
        <v>35</v>
      </c>
      <c r="E1" s="114" t="s">
        <v>210</v>
      </c>
    </row>
    <row r="2" spans="1:5">
      <c r="A2" s="93" t="s">
        <v>33</v>
      </c>
      <c r="B2" s="91"/>
      <c r="C2" s="95"/>
      <c r="D2" s="95"/>
      <c r="E2" s="117"/>
    </row>
    <row r="3" spans="1:5">
      <c r="A3" s="93" t="s">
        <v>64</v>
      </c>
      <c r="B3" s="91"/>
      <c r="C3" s="95"/>
      <c r="D3" s="95"/>
      <c r="E3" s="117"/>
    </row>
    <row r="4" spans="1:5">
      <c r="A4" s="93" t="s">
        <v>65</v>
      </c>
      <c r="B4" s="91"/>
      <c r="C4" s="95"/>
      <c r="D4" s="95"/>
      <c r="E4" s="117"/>
    </row>
    <row r="5" spans="1:5">
      <c r="A5" s="93" t="s">
        <v>66</v>
      </c>
      <c r="B5" s="91"/>
      <c r="C5" s="95"/>
      <c r="D5" s="95"/>
      <c r="E5" s="117"/>
    </row>
    <row r="6" spans="1:5">
      <c r="A6" s="93" t="s">
        <v>67</v>
      </c>
      <c r="B6" s="91"/>
      <c r="C6" s="95"/>
      <c r="D6" s="95"/>
      <c r="E6" s="117"/>
    </row>
    <row r="7" spans="1:5">
      <c r="A7" s="93" t="s">
        <v>68</v>
      </c>
      <c r="B7" s="91"/>
      <c r="C7" s="95"/>
      <c r="D7" s="95"/>
      <c r="E7" s="117"/>
    </row>
    <row r="8" spans="1:5">
      <c r="A8" s="93" t="s">
        <v>69</v>
      </c>
      <c r="B8" s="91"/>
      <c r="C8" s="95"/>
      <c r="D8" s="95"/>
      <c r="E8" s="117"/>
    </row>
    <row r="9" spans="1:5">
      <c r="A9" s="93" t="s">
        <v>70</v>
      </c>
      <c r="B9" s="91"/>
      <c r="C9" s="95"/>
      <c r="D9" s="95"/>
      <c r="E9" s="117"/>
    </row>
    <row r="10" spans="1:5">
      <c r="A10" s="93" t="s">
        <v>58</v>
      </c>
      <c r="B10" s="91"/>
      <c r="C10" s="95"/>
      <c r="D10" s="95"/>
      <c r="E10" s="117"/>
    </row>
    <row r="11" spans="1:5">
      <c r="A11" s="93" t="s">
        <v>71</v>
      </c>
      <c r="B11" s="91"/>
      <c r="C11" s="95"/>
      <c r="D11" s="95"/>
      <c r="E11" s="117"/>
    </row>
    <row r="12" spans="1:5">
      <c r="A12" s="93" t="s">
        <v>113</v>
      </c>
      <c r="B12" s="91"/>
      <c r="C12" s="95"/>
      <c r="D12" s="95"/>
      <c r="E12" s="117"/>
    </row>
    <row r="13" spans="1:5">
      <c r="A13" s="93" t="s">
        <v>114</v>
      </c>
      <c r="B13" s="91"/>
      <c r="C13" s="95"/>
      <c r="D13" s="95"/>
      <c r="E13" s="117"/>
    </row>
    <row r="14" spans="1:5">
      <c r="A14" s="93" t="s">
        <v>72</v>
      </c>
      <c r="B14" s="91"/>
      <c r="C14" s="95"/>
      <c r="D14" s="95"/>
      <c r="E14" s="117"/>
    </row>
    <row r="15" spans="1:5">
      <c r="A15" s="93" t="s">
        <v>74</v>
      </c>
      <c r="B15" s="91"/>
      <c r="C15" s="95"/>
      <c r="D15" s="95"/>
      <c r="E15" s="117"/>
    </row>
    <row r="16" spans="1:5">
      <c r="A16" s="93" t="s">
        <v>76</v>
      </c>
      <c r="B16" s="91"/>
      <c r="C16" s="95"/>
      <c r="D16" s="95"/>
      <c r="E16" s="117"/>
    </row>
    <row r="17" spans="1:5">
      <c r="A17" s="93" t="s">
        <v>78</v>
      </c>
      <c r="B17" s="91"/>
      <c r="C17" s="95"/>
      <c r="D17" s="95"/>
      <c r="E17" s="117"/>
    </row>
  </sheetData>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8E9F-393E-4B45-A0A9-ADE247C3F67A}">
  <dimension ref="A1:E19"/>
  <sheetViews>
    <sheetView zoomScaleNormal="100" workbookViewId="0">
      <selection activeCell="B12" sqref="B12"/>
    </sheetView>
  </sheetViews>
  <sheetFormatPr defaultColWidth="9.140625" defaultRowHeight="15"/>
  <cols>
    <col min="1" max="1" width="11" style="1" customWidth="1"/>
    <col min="2" max="2" width="130.140625" style="23" customWidth="1"/>
    <col min="3" max="3" width="35.140625" style="14" customWidth="1"/>
    <col min="4" max="4" width="33.28515625" style="14" customWidth="1"/>
    <col min="5" max="5" width="28.7109375" style="14" customWidth="1"/>
    <col min="6" max="16384" width="9.140625" style="1"/>
  </cols>
  <sheetData>
    <row r="1" spans="1:5">
      <c r="A1" s="122" t="s">
        <v>23</v>
      </c>
      <c r="B1" s="122" t="s">
        <v>97</v>
      </c>
      <c r="C1" s="82" t="s">
        <v>34</v>
      </c>
      <c r="D1" s="82" t="s">
        <v>35</v>
      </c>
      <c r="E1" s="82" t="s">
        <v>210</v>
      </c>
    </row>
    <row r="2" spans="1:5">
      <c r="A2" s="122"/>
      <c r="B2" s="122"/>
      <c r="C2" s="82"/>
      <c r="D2" s="82"/>
      <c r="E2" s="82"/>
    </row>
    <row r="3" spans="1:5">
      <c r="A3" s="102"/>
      <c r="B3" s="123"/>
      <c r="C3" s="89"/>
      <c r="D3" s="89"/>
      <c r="E3" s="89"/>
    </row>
    <row r="4" spans="1:5">
      <c r="A4" s="102"/>
      <c r="B4" s="123"/>
      <c r="C4" s="89"/>
      <c r="D4" s="89"/>
      <c r="E4" s="89"/>
    </row>
    <row r="5" spans="1:5">
      <c r="A5" s="102"/>
      <c r="B5" s="123"/>
      <c r="C5" s="89"/>
      <c r="D5" s="89"/>
      <c r="E5" s="89"/>
    </row>
    <row r="6" spans="1:5">
      <c r="A6" s="102"/>
      <c r="B6" s="123"/>
      <c r="C6" s="89"/>
      <c r="D6" s="89"/>
      <c r="E6" s="89"/>
    </row>
    <row r="7" spans="1:5">
      <c r="A7" s="102"/>
      <c r="B7" s="123"/>
      <c r="C7" s="89"/>
      <c r="D7" s="89"/>
      <c r="E7" s="89"/>
    </row>
    <row r="8" spans="1:5">
      <c r="A8" s="102"/>
      <c r="B8" s="123"/>
      <c r="C8" s="89"/>
      <c r="D8" s="89"/>
      <c r="E8" s="89"/>
    </row>
    <row r="9" spans="1:5">
      <c r="A9" s="102"/>
      <c r="B9" s="123"/>
      <c r="C9" s="89"/>
      <c r="D9" s="89"/>
      <c r="E9" s="89"/>
    </row>
    <row r="10" spans="1:5">
      <c r="A10" s="102"/>
      <c r="B10" s="123"/>
      <c r="C10" s="89"/>
      <c r="D10" s="89"/>
      <c r="E10" s="89"/>
    </row>
    <row r="11" spans="1:5">
      <c r="A11" s="102"/>
      <c r="B11" s="123"/>
      <c r="C11" s="89"/>
      <c r="D11" s="89"/>
      <c r="E11" s="89"/>
    </row>
    <row r="12" spans="1:5">
      <c r="A12" s="102"/>
      <c r="B12" s="123"/>
      <c r="C12" s="89"/>
      <c r="D12" s="89"/>
      <c r="E12" s="89"/>
    </row>
    <row r="13" spans="1:5">
      <c r="A13" s="102"/>
      <c r="B13" s="123"/>
      <c r="C13" s="89"/>
      <c r="D13" s="89"/>
      <c r="E13" s="89"/>
    </row>
    <row r="14" spans="1:5">
      <c r="A14" s="102"/>
      <c r="B14" s="123"/>
      <c r="C14" s="89"/>
      <c r="D14" s="89"/>
      <c r="E14" s="89"/>
    </row>
    <row r="15" spans="1:5">
      <c r="A15" s="102"/>
      <c r="B15" s="123"/>
      <c r="C15" s="89"/>
      <c r="D15" s="89"/>
      <c r="E15" s="89"/>
    </row>
    <row r="16" spans="1:5">
      <c r="A16" s="102"/>
      <c r="B16" s="123"/>
      <c r="C16" s="89"/>
      <c r="D16" s="89"/>
      <c r="E16" s="89"/>
    </row>
    <row r="17" spans="1:5">
      <c r="A17" s="102"/>
      <c r="B17" s="123"/>
      <c r="C17" s="89"/>
      <c r="D17" s="89"/>
      <c r="E17" s="89"/>
    </row>
    <row r="18" spans="1:5">
      <c r="A18" s="102"/>
      <c r="B18" s="123"/>
      <c r="C18" s="89"/>
      <c r="D18" s="89"/>
      <c r="E18" s="89"/>
    </row>
    <row r="19" spans="1:5">
      <c r="A19" s="102"/>
      <c r="B19" s="123"/>
      <c r="C19" s="89"/>
      <c r="D19" s="89"/>
      <c r="E19" s="89"/>
    </row>
  </sheetData>
  <phoneticPr fontId="24"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Cover</vt:lpstr>
      <vt:lpstr>Document Information</vt:lpstr>
      <vt:lpstr>Host information</vt:lpstr>
      <vt:lpstr>Firewall Assessment</vt:lpstr>
      <vt:lpstr>Summary</vt:lpstr>
      <vt:lpstr>Vulnerabilities</vt:lpstr>
      <vt:lpstr>Compliance</vt:lpstr>
      <vt:lpstr>Remediations</vt:lpstr>
      <vt:lpstr>Package</vt:lpstr>
      <vt:lpstr>Users</vt:lpstr>
      <vt:lpstr>Whitelist 1 Users</vt:lpstr>
      <vt:lpstr>Whitelist 2 Users</vt:lpstr>
      <vt:lpstr>Routes</vt:lpstr>
      <vt:lpstr>Groups</vt:lpstr>
      <vt:lpstr>Processes Running by root</vt:lpstr>
      <vt:lpstr>Cron Jobs</vt:lpstr>
      <vt:lpstr>Environment</vt:lpstr>
      <vt:lpstr>ssh known hosts</vt:lpstr>
      <vt:lpstr>Cover!Print_Area</vt:lpstr>
    </vt:vector>
  </TitlesOfParts>
  <Company>MCCI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OS Security Assessment</dc:title>
  <dc:subject>IPAM Linux OS</dc:subject>
  <dc:creator>رویال پرداز تیام</dc:creator>
  <cp:lastModifiedBy>Amir Molaei</cp:lastModifiedBy>
  <dcterms:created xsi:type="dcterms:W3CDTF">2022-11-29T05:33:35Z</dcterms:created>
  <dcterms:modified xsi:type="dcterms:W3CDTF">2026-09-28T09:03:00Z</dcterms:modified>
  <cp:contentStatus/>
</cp:coreProperties>
</file>