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8.xml" ContentType="application/vnd.openxmlformats-officedocument.spreadsheetml.worksheet+xml"/>
  <Override PartName="/xl/tables/table11.xml" ContentType="application/vnd.openxmlformats-officedocument.spreadsheetml.table+xml"/>
  <Override PartName="/xl/worksheets/sheet9.xml" ContentType="application/vnd.openxmlformats-officedocument.spreadsheetml.worksheet+xml"/>
  <Override PartName="/xl/tables/table12.xml" ContentType="application/vnd.openxmlformats-officedocument.spreadsheetml.table+xml"/>
  <Override PartName="/xl/worksheets/sheet10.xml" ContentType="application/vnd.openxmlformats-officedocument.spreadsheetml.worksheet+xml"/>
  <Override PartName="/xl/tables/table1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Cover" sheetId="1" state="visible" r:id="rId1"/>
    <sheet xmlns:r="http://schemas.openxmlformats.org/officeDocument/2006/relationships" name="Document Information" sheetId="2" state="visible" r:id="rId2"/>
    <sheet xmlns:r="http://schemas.openxmlformats.org/officeDocument/2006/relationships" name="Host information" sheetId="3" state="visible" r:id="rId3"/>
    <sheet xmlns:r="http://schemas.openxmlformats.org/officeDocument/2006/relationships" name="Firewall Assessment" sheetId="4" state="visible" r:id="rId4"/>
    <sheet xmlns:r="http://schemas.openxmlformats.org/officeDocument/2006/relationships" name="Summary" sheetId="5" state="visible" r:id="rId5"/>
    <sheet xmlns:r="http://schemas.openxmlformats.org/officeDocument/2006/relationships" name="Vulnerabilities" sheetId="6" state="visible" r:id="rId6"/>
    <sheet xmlns:r="http://schemas.openxmlformats.org/officeDocument/2006/relationships" name="Compliance" sheetId="7" state="visible" r:id="rId7"/>
    <sheet xmlns:r="http://schemas.openxmlformats.org/officeDocument/2006/relationships" name="Remediations" sheetId="8" state="visible" r:id="rId8"/>
    <sheet xmlns:r="http://schemas.openxmlformats.org/officeDocument/2006/relationships" name="Package" sheetId="9" state="visible" r:id="rId9"/>
    <sheet xmlns:r="http://schemas.openxmlformats.org/officeDocument/2006/relationships" name="Users" sheetId="10" state="visible" r:id="rId10"/>
    <sheet xmlns:r="http://schemas.openxmlformats.org/officeDocument/2006/relationships" name="Whitelist 1 Users" sheetId="11" state="hidden" r:id="rId11"/>
    <sheet xmlns:r="http://schemas.openxmlformats.org/officeDocument/2006/relationships" name="Whitelist 2 Users" sheetId="12" state="hidden" r:id="rId12"/>
    <sheet xmlns:r="http://schemas.openxmlformats.org/officeDocument/2006/relationships" name="Routes" sheetId="13" state="visible" r:id="rId13"/>
    <sheet xmlns:r="http://schemas.openxmlformats.org/officeDocument/2006/relationships" name="Groups" sheetId="14" state="visible" r:id="rId14"/>
    <sheet xmlns:r="http://schemas.openxmlformats.org/officeDocument/2006/relationships" name="Processes Running by root" sheetId="15" state="visible" r:id="rId15"/>
    <sheet xmlns:r="http://schemas.openxmlformats.org/officeDocument/2006/relationships" name="Cron Jobs" sheetId="16" state="visible" r:id="rId16"/>
    <sheet xmlns:r="http://schemas.openxmlformats.org/officeDocument/2006/relationships" name="Environment" sheetId="17" state="visible" r:id="rId17"/>
    <sheet xmlns:r="http://schemas.openxmlformats.org/officeDocument/2006/relationships" name="ssh known hosts" sheetId="18" state="visible" r:id="rId18"/>
  </sheets>
  <externalReferences>
    <externalReference xmlns:r="http://schemas.openxmlformats.org/officeDocument/2006/relationships" r:id="rId19"/>
  </externalReferences>
  <definedNames>
    <definedName name="_xlnm.Print_Area" localSheetId="0">'Cover'!$A$1:$N$27</definedName>
  </definedNames>
  <calcPr calcId="191029" fullCalcOnLoad="1"/>
</workbook>
</file>

<file path=xl/styles.xml><?xml version="1.0" encoding="utf-8"?>
<styleSheet xmlns="http://schemas.openxmlformats.org/spreadsheetml/2006/main">
  <numFmts count="1">
    <numFmt numFmtId="164" formatCode="[$-3000401]0"/>
  </numFmts>
  <fonts count="47">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65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XB Niloofar"/>
      <b val="1"/>
      <color theme="1"/>
      <sz val="14"/>
    </font>
    <font>
      <name val="XB Niloofar"/>
      <color theme="1"/>
      <sz val="16"/>
    </font>
    <font>
      <name val="XB Niloofar"/>
      <color theme="1"/>
      <sz val="12"/>
    </font>
    <font>
      <name val="XB Niloofar"/>
      <b val="1"/>
      <color rgb="FF000000"/>
      <sz val="11"/>
    </font>
    <font>
      <name val="XB Niloofar"/>
      <b val="1"/>
      <color rgb="FF000000"/>
      <sz val="12"/>
    </font>
    <font>
      <name val="XB Niloofar"/>
      <color theme="1"/>
      <sz val="10"/>
    </font>
    <font>
      <name val="Calibri"/>
      <family val="2"/>
      <sz val="8"/>
      <scheme val="minor"/>
    </font>
    <font>
      <name val="Calibri"/>
      <family val="2"/>
      <b val="1"/>
      <sz val="11"/>
      <scheme val="minor"/>
    </font>
    <font>
      <name val="Calibri"/>
      <b val="1"/>
      <sz val="11"/>
    </font>
    <font>
      <name val="Calibri"/>
      <color rgb="FFFFFFFF"/>
      <sz val="11"/>
    </font>
    <font>
      <name val="Calibri"/>
      <color rgb="FF000000"/>
      <sz val="11"/>
    </font>
    <font>
      <name val="B Nazanin"/>
      <charset val="178"/>
      <color theme="1"/>
      <sz val="18"/>
    </font>
    <font>
      <name val="Tahoma"/>
      <family val="2"/>
      <color theme="1"/>
      <sz val="11"/>
    </font>
    <font>
      <name val="Times New Roman"/>
      <family val="1"/>
      <color theme="1"/>
      <sz val="10"/>
    </font>
    <font>
      <name val="B Nazanin"/>
      <charset val="178"/>
      <color theme="1"/>
      <sz val="11"/>
    </font>
    <font>
      <name val="B Nazanin"/>
      <charset val="178"/>
      <b val="1"/>
      <color theme="1"/>
      <sz val="14"/>
    </font>
    <font>
      <name val="Tahoma"/>
      <family val="2"/>
      <b val="1"/>
      <color theme="0"/>
      <sz val="12"/>
    </font>
    <font>
      <name val="Tahoma"/>
      <family val="2"/>
      <b val="1"/>
      <color theme="0"/>
      <sz val="11"/>
    </font>
    <font>
      <name val="Times New Roman"/>
      <family val="1"/>
      <color theme="0"/>
      <sz val="10"/>
    </font>
    <font>
      <name val="Tahoma"/>
      <family val="2"/>
      <color rgb="FF000000"/>
      <sz val="10"/>
    </font>
    <font>
      <name val="Tahoma"/>
      <family val="2"/>
      <color theme="1"/>
      <sz val="10"/>
    </font>
    <font>
      <name val="Arial Unicode MS"/>
      <color theme="1"/>
      <sz val="10"/>
    </font>
    <font>
      <name val="Calibri"/>
      <family val="2"/>
      <sz val="11"/>
      <scheme val="minor"/>
    </font>
    <font>
      <name val="Calibri"/>
      <family val="2"/>
      <b val="1"/>
      <color theme="8" tint="-0.499984740745262"/>
      <sz val="16"/>
      <scheme val="minor"/>
    </font>
    <font>
      <name val="Calibri"/>
      <family val="2"/>
      <b val="1"/>
      <color theme="1"/>
      <sz val="16"/>
      <scheme val="minor"/>
    </font>
    <font>
      <name val="Calibri"/>
      <family val="2"/>
      <b val="1"/>
      <color rgb="FF9C6500"/>
      <sz val="11"/>
      <scheme val="minor"/>
    </font>
    <font>
      <name val="Calibri"/>
      <family val="2"/>
      <b val="1"/>
      <color theme="4" tint="-0.499984740745262"/>
      <sz val="16"/>
      <scheme val="minor"/>
    </font>
    <font>
      <name val="Calibri"/>
      <family val="2"/>
      <b val="1"/>
      <sz val="11"/>
    </font>
    <font>
      <name val="Arial Unicode MS"/>
      <sz val="10"/>
    </font>
  </fonts>
  <fills count="59">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bgColor indexed="64"/>
      </patternFill>
    </fill>
    <fill>
      <patternFill patternType="solid">
        <fgColor rgb="FFFF0000"/>
        <bgColor indexed="64"/>
      </patternFill>
    </fill>
    <fill>
      <patternFill patternType="solid">
        <fgColor rgb="FFC00000"/>
        <bgColor indexed="64"/>
      </patternFill>
    </fill>
    <fill>
      <patternFill patternType="solid">
        <fgColor rgb="FF00B050"/>
        <bgColor indexed="64"/>
      </patternFill>
    </fill>
    <fill>
      <patternFill patternType="solid">
        <fgColor rgb="FFFFFF00"/>
        <bgColor indexed="64"/>
      </patternFill>
    </fill>
    <fill>
      <patternFill patternType="solid">
        <fgColor rgb="FF8B0000"/>
      </patternFill>
    </fill>
    <fill>
      <patternFill patternType="solid">
        <fgColor rgb="FFFF0000"/>
      </patternFill>
    </fill>
    <fill>
      <patternFill patternType="solid">
        <fgColor rgb="FFFFA500"/>
      </patternFill>
    </fill>
    <fill>
      <patternFill patternType="solid">
        <fgColor rgb="FFFFFF00"/>
      </patternFill>
    </fill>
    <fill>
      <patternFill patternType="solid">
        <fgColor rgb="FFFFC000"/>
        <bgColor indexed="64"/>
      </patternFill>
    </fill>
    <fill>
      <patternFill patternType="solid">
        <fgColor rgb="FF33CCCC"/>
        <bgColor indexed="64"/>
      </patternFill>
    </fill>
    <fill>
      <patternFill patternType="solid">
        <fgColor rgb="FF92D050"/>
        <bgColor indexed="64"/>
      </patternFill>
    </fill>
    <fill>
      <patternFill patternType="solid">
        <fgColor theme="5"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rgb="FF00FFFF"/>
        <bgColor indexed="64"/>
      </patternFill>
    </fill>
    <fill>
      <patternFill patternType="solid">
        <fgColor theme="4" tint="-0.249977111117893"/>
        <bgColor indexed="64"/>
      </patternFill>
    </fill>
    <fill>
      <patternFill patternType="solid">
        <fgColor theme="0" tint="-0.249977111117893"/>
        <bgColor indexed="64"/>
      </patternFill>
    </fill>
    <fill>
      <patternFill patternType="solid">
        <fgColor rgb="FFFFFFCC"/>
        <bgColor indexed="64"/>
      </patternFill>
    </fill>
    <fill>
      <patternFill patternType="solid">
        <fgColor rgb="FFFFFF66"/>
        <bgColor indexed="64"/>
      </patternFill>
    </fill>
    <fill>
      <patternFill patternType="solid">
        <fgColor theme="5" tint="0.5999938962981048"/>
        <bgColor indexed="64"/>
      </patternFill>
    </fill>
    <fill>
      <patternFill patternType="solid">
        <fgColor rgb="FFFF9999"/>
        <bgColor indexed="64"/>
      </patternFill>
    </fill>
    <fill>
      <patternFill patternType="solid">
        <fgColor theme="4"/>
        <bgColor theme="4"/>
      </patternFill>
    </fill>
    <fill>
      <patternFill patternType="solid">
        <fgColor theme="4" tint="0.7999816888943144"/>
        <bgColor theme="4" tint="0.7999816888943144"/>
      </patternFill>
    </fill>
    <fill>
      <patternFill patternType="solid">
        <fgColor theme="9" tint="0.3999755851924192"/>
        <bgColor indexed="64"/>
      </patternFill>
    </fill>
    <fill>
      <patternFill patternType="solid">
        <fgColor theme="8" tint="0.7999816888943144"/>
        <bgColor indexed="64"/>
      </patternFill>
    </fill>
  </fills>
  <borders count="5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999999"/>
      </left>
      <right style="thin">
        <color rgb="FF999999"/>
      </right>
      <top style="thin">
        <color rgb="FF999999"/>
      </top>
      <bottom style="thin">
        <color rgb="FF999999"/>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n">
        <color indexed="64"/>
      </left>
      <right style="thin">
        <color theme="0"/>
      </right>
      <top style="thin">
        <color theme="0"/>
      </top>
      <bottom style="thin">
        <color theme="0"/>
      </bottom>
      <diagonal/>
    </border>
    <border>
      <left style="thin">
        <color indexed="64"/>
      </left>
      <right style="thin">
        <color indexed="64"/>
      </right>
      <top style="thin">
        <color indexed="64"/>
      </top>
      <bottom style="thin">
        <color theme="4" tint="0.3999755851924192"/>
      </bottom>
      <diagonal/>
    </border>
    <border>
      <left style="thin">
        <color indexed="64"/>
      </left>
      <right style="thin">
        <color theme="4" tint="0.3999755851924192"/>
      </right>
      <top style="thin">
        <color indexed="64"/>
      </top>
      <bottom style="thin">
        <color theme="4" tint="0.3999755851924192"/>
      </bottom>
      <diagonal/>
    </border>
    <border>
      <left/>
      <right/>
      <top style="thin">
        <color theme="4" tint="0.3999755851924192"/>
      </top>
      <bottom style="thin">
        <color theme="4" tint="0.3999755851924192"/>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top style="thin">
        <color indexed="64"/>
      </top>
      <bottom/>
      <diagonal/>
    </border>
    <border>
      <left/>
      <right/>
      <top style="thick">
        <color indexed="64"/>
      </top>
      <bottom/>
      <diagonal/>
    </border>
    <border>
      <left/>
      <right style="thick">
        <color indexed="64"/>
      </right>
      <top style="thick">
        <color indexed="64"/>
      </top>
      <bottom style="thick">
        <color indexed="64"/>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7" fillId="12" borderId="0"/>
    <xf numFmtId="0" fontId="17" fillId="13" borderId="0"/>
    <xf numFmtId="0" fontId="1" fillId="14" borderId="0"/>
    <xf numFmtId="0" fontId="1" fillId="15" borderId="0"/>
    <xf numFmtId="0" fontId="17" fillId="16" borderId="0"/>
    <xf numFmtId="0" fontId="17" fillId="17" borderId="0"/>
    <xf numFmtId="0" fontId="1" fillId="18" borderId="0"/>
    <xf numFmtId="0" fontId="1" fillId="19" borderId="0"/>
    <xf numFmtId="0" fontId="17" fillId="20" borderId="0"/>
    <xf numFmtId="0" fontId="17" fillId="21" borderId="0"/>
    <xf numFmtId="0" fontId="1" fillId="22" borderId="0"/>
    <xf numFmtId="0" fontId="1" fillId="23" borderId="0"/>
    <xf numFmtId="0" fontId="17" fillId="24" borderId="0"/>
    <xf numFmtId="0" fontId="17" fillId="25" borderId="0"/>
    <xf numFmtId="0" fontId="1" fillId="26" borderId="0"/>
    <xf numFmtId="0" fontId="1" fillId="27" borderId="0"/>
    <xf numFmtId="0" fontId="17" fillId="28" borderId="0"/>
    <xf numFmtId="0" fontId="17" fillId="29" borderId="0"/>
    <xf numFmtId="0" fontId="1" fillId="30" borderId="0"/>
    <xf numFmtId="0" fontId="1" fillId="31" borderId="0"/>
    <xf numFmtId="0" fontId="17" fillId="32" borderId="0"/>
  </cellStyleXfs>
  <cellXfs count="208">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left" vertical="center" wrapText="1"/>
    </xf>
    <xf numFmtId="0" fontId="16" fillId="0" borderId="0" applyAlignment="1" pivotButton="0" quotePrefix="0" xfId="0">
      <alignment horizontal="center" vertical="center"/>
    </xf>
    <xf numFmtId="0" fontId="0" fillId="33" borderId="0" applyAlignment="1" pivotButton="0" quotePrefix="0" xfId="0">
      <alignment readingOrder="2"/>
    </xf>
    <xf numFmtId="0" fontId="14" fillId="33" borderId="0" applyAlignment="1" pivotButton="0" quotePrefix="0" xfId="0">
      <alignment readingOrder="2"/>
    </xf>
    <xf numFmtId="0" fontId="19" fillId="33" borderId="0" applyAlignment="1" pivotButton="0" quotePrefix="0" xfId="0">
      <alignment horizontal="center" vertical="center" readingOrder="2"/>
    </xf>
    <xf numFmtId="0" fontId="0" fillId="33" borderId="0" applyAlignment="1" pivotButton="0" quotePrefix="0" xfId="0">
      <alignment wrapText="1" readingOrder="2"/>
    </xf>
    <xf numFmtId="0" fontId="21" fillId="33" borderId="0" applyAlignment="1" pivotButton="0" quotePrefix="0" xfId="0">
      <alignment horizontal="left" vertical="center" readingOrder="2"/>
    </xf>
    <xf numFmtId="0" fontId="21" fillId="33" borderId="0" applyAlignment="1" pivotButton="0" quotePrefix="0" xfId="0">
      <alignment horizontal="right" vertical="center" readingOrder="2"/>
    </xf>
    <xf numFmtId="164" fontId="0" fillId="33" borderId="0" applyAlignment="1" pivotButton="0" quotePrefix="0" xfId="0">
      <alignment readingOrder="2"/>
    </xf>
    <xf numFmtId="0" fontId="22" fillId="33" borderId="0" applyAlignment="1" pivotButton="0" quotePrefix="0" xfId="0">
      <alignment horizontal="right" vertical="center" readingOrder="2"/>
    </xf>
    <xf numFmtId="0" fontId="20" fillId="33" borderId="0" applyAlignment="1" pivotButton="0" quotePrefix="0" xfId="0">
      <alignment horizontal="right" vertical="center" readingOrder="2"/>
    </xf>
    <xf numFmtId="0" fontId="23" fillId="33" borderId="0" applyAlignment="1" pivotButton="0" quotePrefix="0" xfId="0">
      <alignment horizontal="right" vertical="center" readingOrder="2"/>
    </xf>
    <xf numFmtId="0" fontId="0" fillId="0" borderId="0" applyAlignment="1" pivotButton="0" quotePrefix="0" xfId="0">
      <alignment horizontal="center" vertical="center" wrapText="1"/>
    </xf>
    <xf numFmtId="0" fontId="0" fillId="0" borderId="16" applyAlignment="1" pivotButton="0" quotePrefix="0" xfId="0">
      <alignment horizontal="center" vertical="center"/>
    </xf>
    <xf numFmtId="0" fontId="0" fillId="0" borderId="10" pivotButton="0" quotePrefix="0" xfId="0"/>
    <xf numFmtId="0" fontId="0" fillId="0" borderId="11" pivotButton="0" quotePrefix="0" xfId="0"/>
    <xf numFmtId="0" fontId="0" fillId="0" borderId="12" pivotButton="0" quotePrefix="0" xfId="0"/>
    <xf numFmtId="0" fontId="0" fillId="0" borderId="16" applyAlignment="1" pivotButton="0" quotePrefix="0" xfId="0">
      <alignment horizontal="left" vertical="center" wrapText="1"/>
    </xf>
    <xf numFmtId="0" fontId="16" fillId="0" borderId="16" applyAlignment="1" pivotButton="0" quotePrefix="0" xfId="0">
      <alignment horizontal="center" vertical="center"/>
    </xf>
    <xf numFmtId="0" fontId="0" fillId="0" borderId="16" applyAlignment="1" pivotButton="0" quotePrefix="0" xfId="0">
      <alignment horizontal="center" vertical="center" wrapText="1"/>
    </xf>
    <xf numFmtId="14" fontId="0" fillId="0" borderId="13" applyAlignment="1" pivotButton="0" quotePrefix="0" xfId="0">
      <alignment horizontal="center" vertical="center"/>
    </xf>
    <xf numFmtId="0" fontId="0" fillId="0" borderId="0" applyAlignment="1" pivotButton="0" quotePrefix="0" xfId="0">
      <alignment horizontal="left" vertical="center"/>
    </xf>
    <xf numFmtId="0" fontId="0" fillId="0" borderId="16" applyAlignment="1" pivotButton="0" quotePrefix="0" xfId="0">
      <alignment horizontal="left" vertical="center"/>
    </xf>
    <xf numFmtId="0" fontId="0" fillId="34" borderId="13"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0" applyAlignment="1" pivotButton="0" quotePrefix="0" xfId="0">
      <alignment vertical="center" wrapText="1"/>
    </xf>
    <xf numFmtId="0" fontId="0" fillId="0" borderId="0" applyAlignment="1" pivotButton="0" quotePrefix="0" xfId="0">
      <alignment vertical="top" wrapText="1"/>
    </xf>
    <xf numFmtId="0" fontId="30" fillId="0" borderId="0" applyAlignment="1" pivotButton="0" quotePrefix="0" xfId="0">
      <alignment horizontal="center" vertical="center"/>
    </xf>
    <xf numFmtId="0" fontId="30" fillId="0" borderId="0" applyAlignment="1" pivotButton="0" quotePrefix="0" xfId="0">
      <alignment horizontal="center" vertical="center" wrapText="1"/>
    </xf>
    <xf numFmtId="1" fontId="31" fillId="0" borderId="0" applyAlignment="1" pivotButton="0" quotePrefix="0" xfId="0">
      <alignment horizontal="center" vertical="center" wrapText="1"/>
    </xf>
    <xf numFmtId="0" fontId="31" fillId="44" borderId="0" applyAlignment="1" pivotButton="0" quotePrefix="0" xfId="0">
      <alignment horizontal="center" vertical="center" wrapText="1"/>
    </xf>
    <xf numFmtId="0" fontId="31" fillId="34" borderId="0" applyAlignment="1" pivotButton="0" quotePrefix="0" xfId="0">
      <alignment horizontal="center" vertical="center" wrapText="1"/>
    </xf>
    <xf numFmtId="0" fontId="31" fillId="0" borderId="0" applyAlignment="1" pivotButton="0" quotePrefix="0" xfId="0">
      <alignment horizontal="center" vertical="center" wrapText="1"/>
    </xf>
    <xf numFmtId="0" fontId="31" fillId="45" borderId="0" applyAlignment="1" pivotButton="0" quotePrefix="0" xfId="0">
      <alignment horizontal="center" vertical="center" wrapText="1"/>
    </xf>
    <xf numFmtId="0" fontId="31" fillId="46" borderId="21" applyAlignment="1" pivotButton="0" quotePrefix="0" xfId="0">
      <alignment horizontal="center" vertical="center" wrapText="1"/>
    </xf>
    <xf numFmtId="0" fontId="31" fillId="47" borderId="21" applyAlignment="1" pivotButton="0" quotePrefix="0" xfId="0">
      <alignment horizontal="center" vertical="center" wrapText="1"/>
    </xf>
    <xf numFmtId="0" fontId="31" fillId="0" borderId="16" applyAlignment="1" pivotButton="0" quotePrefix="0" xfId="0">
      <alignment horizontal="center" vertical="center" wrapText="1"/>
    </xf>
    <xf numFmtId="0" fontId="31" fillId="0" borderId="21" applyAlignment="1" pivotButton="0" quotePrefix="0" xfId="0">
      <alignment horizontal="center" vertical="center" wrapText="1"/>
    </xf>
    <xf numFmtId="0" fontId="31" fillId="0" borderId="19" applyAlignment="1" pivotButton="0" quotePrefix="0" xfId="0">
      <alignment horizontal="center" vertical="center" wrapText="1"/>
    </xf>
    <xf numFmtId="0" fontId="32" fillId="0" borderId="0" applyAlignment="1" pivotButton="0" quotePrefix="0" xfId="0">
      <alignment horizontal="center" vertical="center"/>
    </xf>
    <xf numFmtId="0" fontId="32" fillId="0" borderId="0" applyAlignment="1" pivotButton="0" quotePrefix="0" xfId="0">
      <alignment horizontal="center" vertical="center" wrapText="1"/>
    </xf>
    <xf numFmtId="0" fontId="31" fillId="48" borderId="26" applyAlignment="1" pivotButton="0" quotePrefix="0" xfId="0">
      <alignment horizontal="center" vertical="center"/>
    </xf>
    <xf numFmtId="0" fontId="34" fillId="49" borderId="0" applyAlignment="1" pivotButton="0" quotePrefix="0" xfId="0">
      <alignment horizontal="center" vertical="center" wrapText="1"/>
    </xf>
    <xf numFmtId="0" fontId="35" fillId="49" borderId="0" applyAlignment="1" pivotButton="0" quotePrefix="0" xfId="0">
      <alignment horizontal="center" vertical="center" wrapText="1"/>
    </xf>
    <xf numFmtId="0" fontId="34" fillId="49" borderId="21" applyAlignment="1" pivotButton="0" quotePrefix="0" xfId="0">
      <alignment horizontal="center" vertical="center" wrapText="1"/>
    </xf>
    <xf numFmtId="0" fontId="36" fillId="49" borderId="28" applyAlignment="1" pivotButton="0" quotePrefix="0" xfId="0">
      <alignment horizontal="center" vertical="center"/>
    </xf>
    <xf numFmtId="0" fontId="36" fillId="49" borderId="0" applyAlignment="1" pivotButton="0" quotePrefix="0" xfId="0">
      <alignment horizontal="center" vertical="center"/>
    </xf>
    <xf numFmtId="0" fontId="36" fillId="49" borderId="29" applyAlignment="1" pivotButton="0" quotePrefix="0" xfId="0">
      <alignment horizontal="center" vertical="center" wrapText="1"/>
    </xf>
    <xf numFmtId="0" fontId="0" fillId="33" borderId="16" applyAlignment="1" pivotButton="0" quotePrefix="0" xfId="0">
      <alignment horizontal="center" vertical="center" wrapText="1"/>
    </xf>
    <xf numFmtId="0" fontId="0" fillId="0" borderId="16" applyAlignment="1" pivotButton="0" quotePrefix="0" xfId="0">
      <alignment horizontal="left" vertical="top" wrapText="1"/>
    </xf>
    <xf numFmtId="0" fontId="0" fillId="0" borderId="0" applyAlignment="1" pivotButton="0" quotePrefix="0" xfId="0">
      <alignment wrapText="1"/>
    </xf>
    <xf numFmtId="0" fontId="37" fillId="33" borderId="23" applyAlignment="1" pivotButton="0" quotePrefix="0" xfId="0">
      <alignment horizontal="left" vertical="top" wrapText="1"/>
    </xf>
    <xf numFmtId="0" fontId="37" fillId="33" borderId="21" applyAlignment="1" pivotButton="0" quotePrefix="0" xfId="0">
      <alignment horizontal="center" vertical="center" wrapText="1"/>
    </xf>
    <xf numFmtId="0" fontId="37" fillId="33" borderId="21" applyAlignment="1" pivotButton="0" quotePrefix="0" xfId="0">
      <alignment horizontal="left" vertical="top" wrapText="1"/>
    </xf>
    <xf numFmtId="0" fontId="38" fillId="0" borderId="12" applyAlignment="1" pivotButton="0" quotePrefix="0" xfId="0">
      <alignment horizontal="center" vertical="center"/>
    </xf>
    <xf numFmtId="0" fontId="38" fillId="0" borderId="21" applyAlignment="1" pivotButton="0" quotePrefix="0" xfId="0">
      <alignment horizontal="center" vertical="center" wrapText="1"/>
    </xf>
    <xf numFmtId="0" fontId="38" fillId="0" borderId="16" applyAlignment="1" pivotButton="0" quotePrefix="0" xfId="0">
      <alignment horizontal="center" vertical="center" wrapText="1"/>
    </xf>
    <xf numFmtId="0" fontId="38" fillId="0" borderId="13" applyAlignment="1" pivotButton="0" quotePrefix="0" xfId="0">
      <alignment horizontal="center" vertical="center" wrapText="1"/>
    </xf>
    <xf numFmtId="0" fontId="38" fillId="0" borderId="16" applyAlignment="1" pivotButton="0" quotePrefix="0" xfId="0">
      <alignment horizontal="center" vertical="center"/>
    </xf>
    <xf numFmtId="0" fontId="38" fillId="0" borderId="30" applyAlignment="1" pivotButton="0" quotePrefix="0" xfId="0">
      <alignment horizontal="center" vertical="center" wrapText="1"/>
    </xf>
    <xf numFmtId="0" fontId="37" fillId="33" borderId="16" applyAlignment="1" pivotButton="0" quotePrefix="0" xfId="0">
      <alignment horizontal="center" vertical="center" wrapText="1"/>
    </xf>
    <xf numFmtId="0" fontId="37" fillId="33" borderId="16" applyAlignment="1" pivotButton="0" quotePrefix="0" xfId="0">
      <alignment horizontal="left" vertical="top" wrapText="1"/>
    </xf>
    <xf numFmtId="0" fontId="0" fillId="0" borderId="0" applyAlignment="1" pivotButton="0" quotePrefix="0" xfId="0">
      <alignment horizontal="left" vertical="top" wrapText="1"/>
    </xf>
    <xf numFmtId="0" fontId="38" fillId="46" borderId="12" applyAlignment="1" pivotButton="0" quotePrefix="0" xfId="0">
      <alignment horizontal="center" vertical="center"/>
    </xf>
    <xf numFmtId="0" fontId="37" fillId="33" borderId="22" applyAlignment="1" pivotButton="0" quotePrefix="0" xfId="0">
      <alignment horizontal="left" vertical="top" wrapText="1"/>
    </xf>
    <xf numFmtId="0" fontId="39" fillId="0" borderId="0" applyAlignment="1" pivotButton="0" quotePrefix="0" xfId="0">
      <alignment vertical="center" wrapText="1"/>
    </xf>
    <xf numFmtId="0" fontId="16" fillId="0" borderId="37" applyAlignment="1" pivotButton="0" quotePrefix="0" xfId="0">
      <alignment horizontal="center" vertical="center"/>
    </xf>
    <xf numFmtId="0" fontId="0" fillId="0" borderId="37" applyAlignment="1" pivotButton="0" quotePrefix="0" xfId="0">
      <alignment horizontal="center" vertical="center"/>
    </xf>
    <xf numFmtId="0" fontId="16" fillId="35" borderId="37" applyAlignment="1" pivotButton="0" quotePrefix="0" xfId="0">
      <alignment horizontal="center" vertical="center"/>
    </xf>
    <xf numFmtId="0" fontId="16" fillId="34" borderId="37" applyAlignment="1" pivotButton="0" quotePrefix="0" xfId="0">
      <alignment horizontal="center" vertical="center"/>
    </xf>
    <xf numFmtId="0" fontId="16" fillId="42" borderId="37" applyAlignment="1" pivotButton="0" quotePrefix="0" xfId="0">
      <alignment horizontal="center" vertical="center"/>
    </xf>
    <xf numFmtId="0" fontId="16" fillId="37" borderId="37" applyAlignment="1" pivotButton="0" quotePrefix="0" xfId="0">
      <alignment horizontal="center" vertical="center"/>
    </xf>
    <xf numFmtId="0" fontId="16" fillId="36" borderId="37" applyAlignment="1" pivotButton="0" quotePrefix="0" xfId="0">
      <alignment horizontal="center" vertical="center"/>
    </xf>
    <xf numFmtId="0" fontId="16" fillId="50" borderId="37" applyAlignment="1" pivotButton="0" quotePrefix="0" xfId="0">
      <alignment horizontal="center" vertical="center"/>
    </xf>
    <xf numFmtId="0" fontId="16" fillId="45" borderId="37" applyAlignment="1" pivotButton="0" quotePrefix="0" xfId="0">
      <alignment horizontal="center" vertical="center"/>
    </xf>
    <xf numFmtId="0" fontId="16" fillId="46" borderId="37" applyAlignment="1" pivotButton="0" quotePrefix="0" xfId="0">
      <alignment horizontal="center" vertical="center"/>
    </xf>
    <xf numFmtId="0" fontId="16" fillId="47" borderId="37" applyAlignment="1" pivotButton="0" quotePrefix="0" xfId="0">
      <alignment horizontal="center" vertical="center"/>
    </xf>
    <xf numFmtId="0" fontId="7" fillId="0" borderId="44" applyAlignment="1" pivotButton="0" quotePrefix="0" xfId="7">
      <alignment horizontal="center" vertical="center" wrapText="1"/>
    </xf>
    <xf numFmtId="0" fontId="25" fillId="0" borderId="0" applyAlignment="1" pivotButton="0" quotePrefix="0" xfId="0">
      <alignment horizontal="center" vertical="center" wrapText="1"/>
    </xf>
    <xf numFmtId="0" fontId="40" fillId="0" borderId="0" applyAlignment="1" pivotButton="0" quotePrefix="0" xfId="0">
      <alignment horizontal="left" wrapText="1"/>
    </xf>
    <xf numFmtId="0" fontId="0" fillId="0" borderId="0" applyAlignment="1" pivotButton="0" quotePrefix="0" xfId="0">
      <alignment horizontal="left" wrapText="1"/>
    </xf>
    <xf numFmtId="0" fontId="0" fillId="51" borderId="0" applyAlignment="1" pivotButton="0" quotePrefix="0" xfId="0">
      <alignment horizontal="left" vertical="center" wrapText="1"/>
    </xf>
    <xf numFmtId="0" fontId="0" fillId="52" borderId="0" applyAlignment="1" pivotButton="0" quotePrefix="0" xfId="0">
      <alignment horizontal="left" vertical="center" wrapText="1"/>
    </xf>
    <xf numFmtId="0" fontId="0" fillId="53" borderId="0" applyAlignment="1" pivotButton="0" quotePrefix="0" xfId="0">
      <alignment horizontal="left" vertical="center" wrapText="1"/>
    </xf>
    <xf numFmtId="0" fontId="0" fillId="54" borderId="0" applyAlignment="1" pivotButton="0" quotePrefix="0" xfId="0">
      <alignment horizontal="left" vertical="center" wrapText="1"/>
    </xf>
    <xf numFmtId="0" fontId="40" fillId="0" borderId="0" applyAlignment="1" pivotButton="0" quotePrefix="0" xfId="0">
      <alignment horizontal="center" vertical="center" wrapText="1"/>
    </xf>
    <xf numFmtId="0" fontId="40" fillId="0" borderId="0" applyAlignment="1" pivotButton="0" quotePrefix="0" xfId="0">
      <alignment horizontal="left" vertical="top" wrapText="1"/>
    </xf>
    <xf numFmtId="0" fontId="40" fillId="0" borderId="16" applyAlignment="1" pivotButton="0" quotePrefix="0" xfId="0">
      <alignment horizontal="left" vertical="top" wrapText="1"/>
    </xf>
    <xf numFmtId="0" fontId="13" fillId="0" borderId="21" applyAlignment="1" pivotButton="0" quotePrefix="0" xfId="0">
      <alignment horizontal="center" vertical="center" wrapText="1"/>
    </xf>
    <xf numFmtId="0" fontId="40" fillId="0" borderId="16" applyAlignment="1" pivotButton="0" quotePrefix="0" xfId="0">
      <alignment horizontal="center" vertical="center" wrapText="1"/>
    </xf>
    <xf numFmtId="0" fontId="40" fillId="0" borderId="21" applyAlignment="1" pivotButton="0" quotePrefix="0" xfId="0">
      <alignment horizontal="center" vertical="center" wrapText="1"/>
    </xf>
    <xf numFmtId="0" fontId="40" fillId="0" borderId="19" applyAlignment="1" pivotButton="0" quotePrefix="0" xfId="0">
      <alignment horizontal="center" vertical="center" wrapText="1"/>
    </xf>
    <xf numFmtId="0" fontId="40" fillId="0" borderId="16" applyAlignment="1" pivotButton="0" quotePrefix="0" xfId="0">
      <alignment horizontal="center" vertical="center"/>
    </xf>
    <xf numFmtId="0" fontId="40" fillId="0" borderId="16" pivotButton="0" quotePrefix="0" xfId="0"/>
    <xf numFmtId="0" fontId="40" fillId="0" borderId="16" applyAlignment="1" pivotButton="0" quotePrefix="0" xfId="0">
      <alignment vertical="center" wrapText="1"/>
    </xf>
    <xf numFmtId="0" fontId="16" fillId="0" borderId="0" applyAlignment="1" pivotButton="0" quotePrefix="0" xfId="0">
      <alignment horizontal="center" vertical="center" wrapText="1"/>
    </xf>
    <xf numFmtId="0" fontId="0" fillId="0" borderId="25" applyAlignment="1" pivotButton="0" quotePrefix="0" xfId="0">
      <alignment horizontal="center" vertical="center" wrapText="1"/>
    </xf>
    <xf numFmtId="0" fontId="16" fillId="0" borderId="16" applyAlignment="1" pivotButton="0" quotePrefix="0" xfId="0">
      <alignment horizontal="center" vertical="center" wrapText="1"/>
    </xf>
    <xf numFmtId="0" fontId="40" fillId="0" borderId="0" applyAlignment="1" pivotButton="0" quotePrefix="0" xfId="0">
      <alignment horizontal="center" vertical="center"/>
    </xf>
    <xf numFmtId="49" fontId="40" fillId="0" borderId="0" applyAlignment="1" pivotButton="0" quotePrefix="0" xfId="0">
      <alignment horizontal="center" vertical="center" wrapText="1"/>
    </xf>
    <xf numFmtId="0" fontId="13" fillId="0" borderId="36" applyAlignment="1" pivotButton="0" quotePrefix="0" xfId="0">
      <alignment horizontal="center" vertical="center" wrapText="1"/>
    </xf>
    <xf numFmtId="0" fontId="27" fillId="38" borderId="16" applyAlignment="1" pivotButton="0" quotePrefix="0" xfId="0">
      <alignment horizontal="center" vertical="center" wrapText="1"/>
    </xf>
    <xf numFmtId="0" fontId="28" fillId="39" borderId="16" applyAlignment="1" pivotButton="0" quotePrefix="0" xfId="0">
      <alignment horizontal="center" vertical="center" wrapText="1"/>
    </xf>
    <xf numFmtId="0" fontId="28" fillId="40" borderId="16" applyAlignment="1" pivotButton="0" quotePrefix="0" xfId="0">
      <alignment horizontal="center" vertical="center" wrapText="1"/>
    </xf>
    <xf numFmtId="0" fontId="28" fillId="41" borderId="16" applyAlignment="1" pivotButton="0" quotePrefix="0" xfId="0">
      <alignment horizontal="center" vertical="center" wrapText="1"/>
    </xf>
    <xf numFmtId="0" fontId="40" fillId="0" borderId="16" applyAlignment="1" pivotButton="0" quotePrefix="0" xfId="0">
      <alignment horizontal="left" vertical="center"/>
    </xf>
    <xf numFmtId="0" fontId="0" fillId="0" borderId="25" applyAlignment="1" pivotButton="0" quotePrefix="0" xfId="0">
      <alignment horizontal="center" vertical="center"/>
    </xf>
    <xf numFmtId="0" fontId="40" fillId="0" borderId="23" applyAlignment="1" pivotButton="0" quotePrefix="0" xfId="0">
      <alignment horizontal="center" vertical="center" wrapText="1"/>
    </xf>
    <xf numFmtId="0" fontId="25" fillId="0" borderId="21" applyAlignment="1" pivotButton="0" quotePrefix="0" xfId="0">
      <alignment horizontal="center" vertical="center"/>
    </xf>
    <xf numFmtId="0" fontId="25" fillId="0" borderId="21" applyAlignment="1" pivotButton="0" quotePrefix="0" xfId="0">
      <alignment horizontal="center" vertical="center" wrapText="1"/>
    </xf>
    <xf numFmtId="0" fontId="25" fillId="0" borderId="35" applyAlignment="1" pivotButton="0" quotePrefix="0" xfId="0">
      <alignment horizontal="center" vertical="center" wrapText="1"/>
    </xf>
    <xf numFmtId="0" fontId="0" fillId="0" borderId="32" applyAlignment="1" pivotButton="0" quotePrefix="0" xfId="0">
      <alignment horizontal="center" vertical="center"/>
    </xf>
    <xf numFmtId="0" fontId="40" fillId="0" borderId="19" applyAlignment="1" pivotButton="0" quotePrefix="0" xfId="0">
      <alignment horizontal="left" vertical="center"/>
    </xf>
    <xf numFmtId="0" fontId="40" fillId="0" borderId="31" applyAlignment="1" pivotButton="0" quotePrefix="0" xfId="0">
      <alignment horizontal="center" vertical="center" wrapText="1"/>
    </xf>
    <xf numFmtId="0" fontId="25" fillId="0" borderId="36" applyAlignment="1" pivotButton="0" quotePrefix="0" xfId="0">
      <alignment horizontal="center" vertical="center"/>
    </xf>
    <xf numFmtId="0" fontId="25" fillId="0" borderId="36" applyAlignment="1" pivotButton="0" quotePrefix="0" xfId="0">
      <alignment horizontal="center" vertical="center" wrapText="1"/>
    </xf>
    <xf numFmtId="0" fontId="40" fillId="0" borderId="25" applyAlignment="1" pivotButton="0" quotePrefix="0" xfId="0">
      <alignment horizontal="center" vertical="center"/>
    </xf>
    <xf numFmtId="0" fontId="40" fillId="0" borderId="16" applyAlignment="1" pivotButton="0" quotePrefix="0" xfId="0">
      <alignment horizontal="left" vertical="center" wrapText="1"/>
    </xf>
    <xf numFmtId="0" fontId="25" fillId="0" borderId="0" applyAlignment="1" pivotButton="0" quotePrefix="0" xfId="0">
      <alignment horizontal="center" vertical="center"/>
    </xf>
    <xf numFmtId="0" fontId="40" fillId="0" borderId="0" applyAlignment="1" pivotButton="0" quotePrefix="0" xfId="0">
      <alignment horizontal="left" vertical="center" wrapText="1"/>
    </xf>
    <xf numFmtId="0" fontId="40" fillId="0" borderId="32" applyAlignment="1" pivotButton="0" quotePrefix="0" xfId="0">
      <alignment horizontal="center" vertical="center" wrapText="1"/>
    </xf>
    <xf numFmtId="0" fontId="40" fillId="0" borderId="32" applyAlignment="1" pivotButton="0" quotePrefix="0" xfId="0">
      <alignment vertical="center" wrapText="1"/>
    </xf>
    <xf numFmtId="0" fontId="40" fillId="0" borderId="19" applyAlignment="1" pivotButton="0" quotePrefix="0" xfId="0">
      <alignment horizontal="left" vertical="top" wrapText="1"/>
    </xf>
    <xf numFmtId="0" fontId="40" fillId="0" borderId="25" applyAlignment="1" pivotButton="0" quotePrefix="0" xfId="0">
      <alignment horizontal="center" vertical="center" wrapText="1"/>
    </xf>
    <xf numFmtId="0" fontId="40" fillId="0" borderId="34" applyAlignment="1" pivotButton="0" quotePrefix="0" xfId="0">
      <alignment horizontal="center" vertical="center" wrapText="1"/>
    </xf>
    <xf numFmtId="0" fontId="40" fillId="0" borderId="33" applyAlignment="1" pivotButton="0" quotePrefix="0" xfId="0">
      <alignment horizontal="center" vertical="center" wrapText="1"/>
    </xf>
    <xf numFmtId="0" fontId="40" fillId="0" borderId="23" applyAlignment="1" pivotButton="0" quotePrefix="0" xfId="0">
      <alignment vertical="center" wrapText="1"/>
    </xf>
    <xf numFmtId="0" fontId="40" fillId="0" borderId="32" applyAlignment="1" pivotButton="0" quotePrefix="0" xfId="0">
      <alignment horizontal="center" vertical="center"/>
    </xf>
    <xf numFmtId="0" fontId="40" fillId="0" borderId="19" pivotButton="0" quotePrefix="0" xfId="0"/>
    <xf numFmtId="0" fontId="40" fillId="0" borderId="19" applyAlignment="1" pivotButton="0" quotePrefix="0" xfId="0">
      <alignment vertical="center" wrapText="1"/>
    </xf>
    <xf numFmtId="0" fontId="40" fillId="0" borderId="31" applyAlignment="1" pivotButton="0" quotePrefix="0" xfId="0">
      <alignment vertical="center" wrapText="1"/>
    </xf>
    <xf numFmtId="0" fontId="25" fillId="0" borderId="35" applyAlignment="1" pivotButton="0" quotePrefix="0" xfId="0">
      <alignment horizontal="center" vertical="center"/>
    </xf>
    <xf numFmtId="0" fontId="40" fillId="0" borderId="23" applyAlignment="1" pivotButton="0" quotePrefix="0" xfId="0">
      <alignment horizontal="center" vertical="center"/>
    </xf>
    <xf numFmtId="0" fontId="40" fillId="0" borderId="19" applyAlignment="1" pivotButton="0" quotePrefix="0" xfId="0">
      <alignment horizontal="center" vertical="center"/>
    </xf>
    <xf numFmtId="0" fontId="40" fillId="0" borderId="31" applyAlignment="1" pivotButton="0" quotePrefix="0" xfId="0">
      <alignment horizontal="center" vertical="center"/>
    </xf>
    <xf numFmtId="0" fontId="25" fillId="0" borderId="20" applyAlignment="1" pivotButton="0" quotePrefix="0" xfId="0">
      <alignment horizontal="center" vertical="center" wrapText="1"/>
    </xf>
    <xf numFmtId="0" fontId="25" fillId="0" borderId="33" applyAlignment="1" pivotButton="0" quotePrefix="0" xfId="0">
      <alignment horizontal="center" vertical="center" wrapText="1"/>
    </xf>
    <xf numFmtId="0" fontId="40" fillId="0" borderId="16" applyAlignment="1" pivotButton="0" quotePrefix="0" xfId="0">
      <alignment horizontal="center"/>
    </xf>
    <xf numFmtId="0" fontId="40" fillId="0" borderId="16" applyAlignment="1" pivotButton="0" quotePrefix="0" xfId="38">
      <alignment horizontal="center" vertical="center" wrapText="1"/>
    </xf>
    <xf numFmtId="0" fontId="46" fillId="0" borderId="0" applyAlignment="1" pivotButton="0" quotePrefix="0" xfId="0">
      <alignment horizontal="left" vertical="top" wrapText="1"/>
    </xf>
    <xf numFmtId="0" fontId="46" fillId="0" borderId="0" applyAlignment="1" pivotButton="0" quotePrefix="0" xfId="0">
      <alignment horizontal="left" vertical="center" wrapText="1"/>
    </xf>
    <xf numFmtId="0" fontId="40" fillId="0" borderId="19" applyAlignment="1" pivotButton="0" quotePrefix="0" xfId="0">
      <alignment horizontal="center"/>
    </xf>
    <xf numFmtId="0" fontId="40" fillId="0" borderId="19" applyAlignment="1" pivotButton="0" quotePrefix="0" xfId="38">
      <alignment horizontal="center" vertical="center" wrapText="1"/>
    </xf>
    <xf numFmtId="0" fontId="40" fillId="0" borderId="19" applyAlignment="1" pivotButton="0" quotePrefix="0" xfId="0">
      <alignment horizontal="left" vertical="center" wrapText="1"/>
    </xf>
    <xf numFmtId="0" fontId="25" fillId="55" borderId="45" applyAlignment="1" pivotButton="0" quotePrefix="0" xfId="0">
      <alignment horizontal="center" vertical="center" wrapText="1"/>
    </xf>
    <xf numFmtId="0" fontId="25" fillId="55" borderId="46" applyAlignment="1" pivotButton="0" quotePrefix="0" xfId="0">
      <alignment horizontal="center" vertical="center" wrapText="1"/>
    </xf>
    <xf numFmtId="0" fontId="40" fillId="56" borderId="16" applyAlignment="1" pivotButton="0" quotePrefix="0" xfId="0">
      <alignment horizontal="left" vertical="center" wrapText="1"/>
    </xf>
    <xf numFmtId="0" fontId="40" fillId="56" borderId="16" applyAlignment="1" pivotButton="0" quotePrefix="0" xfId="0">
      <alignment horizontal="center" vertical="center" wrapText="1"/>
    </xf>
    <xf numFmtId="0" fontId="46" fillId="0" borderId="47" applyAlignment="1" pivotButton="0" quotePrefix="0" xfId="0">
      <alignment horizontal="left" vertical="top" wrapText="1"/>
    </xf>
    <xf numFmtId="0" fontId="46" fillId="56" borderId="47" applyAlignment="1" pivotButton="0" quotePrefix="0" xfId="0">
      <alignment horizontal="left" vertical="center" wrapText="1"/>
    </xf>
    <xf numFmtId="0" fontId="40" fillId="56" borderId="19" applyAlignment="1" pivotButton="0" quotePrefix="0" xfId="0">
      <alignment horizontal="left" vertical="center" wrapText="1"/>
    </xf>
    <xf numFmtId="0" fontId="40" fillId="56" borderId="19" applyAlignment="1" pivotButton="0" quotePrefix="0" xfId="0">
      <alignment horizontal="center" vertical="center" wrapText="1"/>
    </xf>
    <xf numFmtId="0" fontId="40" fillId="0" borderId="25" applyAlignment="1" pivotButton="0" quotePrefix="0" xfId="0">
      <alignment vertical="center" wrapText="1"/>
    </xf>
    <xf numFmtId="0" fontId="26" fillId="0" borderId="32" applyAlignment="1" pivotButton="0" quotePrefix="0" xfId="0">
      <alignment horizontal="left" vertical="center" wrapText="1"/>
    </xf>
    <xf numFmtId="0" fontId="26" fillId="0" borderId="19" applyAlignment="1" pivotButton="0" quotePrefix="0" xfId="0">
      <alignment horizontal="left" vertical="center" wrapText="1"/>
    </xf>
    <xf numFmtId="0" fontId="26" fillId="0" borderId="19" applyAlignment="1" pivotButton="0" quotePrefix="0" xfId="0">
      <alignment horizontal="center" vertical="center" wrapText="1"/>
    </xf>
    <xf numFmtId="0" fontId="45" fillId="0" borderId="19" applyAlignment="1" pivotButton="0" quotePrefix="0" xfId="0">
      <alignment horizontal="center" vertical="center" wrapText="1"/>
    </xf>
    <xf numFmtId="0" fontId="26" fillId="0" borderId="31" applyAlignment="1" pivotButton="0" quotePrefix="0" xfId="0">
      <alignment horizontal="center" vertical="center" wrapText="1"/>
    </xf>
    <xf numFmtId="0" fontId="18" fillId="33" borderId="0" applyAlignment="1" pivotButton="0" quotePrefix="0" xfId="0">
      <alignment horizontal="center" vertical="center" wrapText="1" readingOrder="2"/>
    </xf>
    <xf numFmtId="0" fontId="16" fillId="33" borderId="0" applyAlignment="1" pivotButton="0" quotePrefix="0" xfId="0">
      <alignment readingOrder="2"/>
    </xf>
    <xf numFmtId="0" fontId="20" fillId="33" borderId="0" applyAlignment="1" pivotButton="0" quotePrefix="0" xfId="0">
      <alignment vertical="center" wrapText="1" readingOrder="2"/>
    </xf>
    <xf numFmtId="0" fontId="0" fillId="33" borderId="0" applyAlignment="1" pivotButton="0" quotePrefix="0" xfId="0">
      <alignment readingOrder="2"/>
    </xf>
    <xf numFmtId="0" fontId="0" fillId="0" borderId="17" applyAlignment="1" pivotButton="0" quotePrefix="0" xfId="0">
      <alignment horizontal="center" vertical="center"/>
    </xf>
    <xf numFmtId="0" fontId="0" fillId="0" borderId="18" applyAlignment="1" pivotButton="0" quotePrefix="0" xfId="0">
      <alignment horizontal="center" vertical="center"/>
    </xf>
    <xf numFmtId="0" fontId="44" fillId="58" borderId="16" applyAlignment="1" pivotButton="0" quotePrefix="0" xfId="0">
      <alignment horizontal="center" vertical="center" wrapText="1"/>
    </xf>
    <xf numFmtId="0" fontId="43" fillId="4" borderId="0" applyAlignment="1" pivotButton="0" quotePrefix="0" xfId="8">
      <alignment horizontal="center" vertical="center" wrapText="1"/>
    </xf>
    <xf numFmtId="0" fontId="0" fillId="0" borderId="0" applyAlignment="1" pivotButton="0" quotePrefix="0" xfId="0">
      <alignment horizontal="center" vertical="center" wrapText="1"/>
    </xf>
    <xf numFmtId="0" fontId="42" fillId="57" borderId="0" applyAlignment="1" pivotButton="0" quotePrefix="0" xfId="0">
      <alignment horizontal="center" vertical="center" wrapText="1"/>
    </xf>
    <xf numFmtId="0" fontId="41" fillId="47" borderId="0" applyAlignment="1" pivotButton="0" quotePrefix="0" xfId="0">
      <alignment horizontal="center" vertical="center" wrapText="1"/>
    </xf>
    <xf numFmtId="0" fontId="16" fillId="0" borderId="37" applyAlignment="1" pivotButton="0" quotePrefix="0" xfId="0">
      <alignment horizontal="center" vertical="center"/>
    </xf>
    <xf numFmtId="0" fontId="0" fillId="0" borderId="37" applyAlignment="1" pivotButton="0" quotePrefix="0" xfId="0">
      <alignment horizontal="center" vertical="center"/>
    </xf>
    <xf numFmtId="0" fontId="16" fillId="0" borderId="38" applyAlignment="1" pivotButton="0" quotePrefix="0" xfId="0">
      <alignment horizontal="left" vertical="top" wrapText="1"/>
    </xf>
    <xf numFmtId="0" fontId="16" fillId="0" borderId="39" applyAlignment="1" pivotButton="0" quotePrefix="0" xfId="0">
      <alignment horizontal="left" vertical="top" wrapText="1"/>
    </xf>
    <xf numFmtId="0" fontId="16" fillId="0" borderId="40" applyAlignment="1" pivotButton="0" quotePrefix="0" xfId="0">
      <alignment horizontal="left" vertical="top" wrapText="1"/>
    </xf>
    <xf numFmtId="0" fontId="16" fillId="0" borderId="41" applyAlignment="1" pivotButton="0" quotePrefix="0" xfId="0">
      <alignment horizontal="left" vertical="top" wrapText="1"/>
    </xf>
    <xf numFmtId="0" fontId="16" fillId="0" borderId="42" applyAlignment="1" pivotButton="0" quotePrefix="0" xfId="0">
      <alignment horizontal="left" vertical="top" wrapText="1"/>
    </xf>
    <xf numFmtId="0" fontId="16" fillId="0" borderId="43" applyAlignment="1" pivotButton="0" quotePrefix="0" xfId="0">
      <alignment horizontal="left" vertical="top" wrapText="1"/>
    </xf>
    <xf numFmtId="0" fontId="33" fillId="0" borderId="0" applyAlignment="1" pivotButton="0" quotePrefix="0" xfId="0">
      <alignment horizontal="center" vertical="center" wrapText="1"/>
    </xf>
    <xf numFmtId="0" fontId="30" fillId="34" borderId="0" applyAlignment="1" pivotButton="0" quotePrefix="0" xfId="0">
      <alignment horizontal="center" vertical="center"/>
    </xf>
    <xf numFmtId="0" fontId="31" fillId="48" borderId="16" applyAlignment="1" pivotButton="0" quotePrefix="0" xfId="0">
      <alignment horizontal="center" vertical="center"/>
    </xf>
    <xf numFmtId="0" fontId="31" fillId="48" borderId="23" applyAlignment="1" pivotButton="0" quotePrefix="0" xfId="0">
      <alignment horizontal="center" vertical="center"/>
    </xf>
    <xf numFmtId="0" fontId="31" fillId="48" borderId="10" applyAlignment="1" pivotButton="0" quotePrefix="0" xfId="0">
      <alignment horizontal="center" vertical="center"/>
    </xf>
    <xf numFmtId="0" fontId="31" fillId="48" borderId="27" applyAlignment="1" pivotButton="0" quotePrefix="0" xfId="0">
      <alignment horizontal="center" vertical="center"/>
    </xf>
    <xf numFmtId="0" fontId="31" fillId="48" borderId="11" applyAlignment="1" pivotButton="0" quotePrefix="0" xfId="0">
      <alignment horizontal="center" vertical="center"/>
    </xf>
    <xf numFmtId="0" fontId="29" fillId="43" borderId="16" applyAlignment="1" pivotButton="0" quotePrefix="0" xfId="0">
      <alignment horizontal="center" vertical="center" wrapText="1"/>
    </xf>
    <xf numFmtId="0" fontId="29" fillId="33" borderId="16" applyAlignment="1" pivotButton="0" quotePrefix="0" xfId="0">
      <alignment horizontal="center" vertical="center" wrapText="1"/>
    </xf>
    <xf numFmtId="0" fontId="29" fillId="33" borderId="23" applyAlignment="1" pivotButton="0" quotePrefix="0" xfId="0">
      <alignment horizontal="center" vertical="center" wrapText="1"/>
    </xf>
    <xf numFmtId="0" fontId="29" fillId="33" borderId="24" applyAlignment="1" pivotButton="0" quotePrefix="0" xfId="0">
      <alignment horizontal="center" vertical="center" wrapText="1"/>
    </xf>
    <xf numFmtId="0" fontId="29" fillId="33" borderId="25" applyAlignment="1" pivotButton="0" quotePrefix="0" xfId="0">
      <alignment horizontal="center" vertical="center" wrapText="1"/>
    </xf>
    <xf numFmtId="0" fontId="30"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0" borderId="48" applyAlignment="1" pivotButton="0" quotePrefix="0" xfId="0">
      <alignment horizontal="center" vertical="center"/>
    </xf>
    <xf numFmtId="0" fontId="0" fillId="0" borderId="18" pivotButton="0" quotePrefix="0" xfId="0"/>
    <xf numFmtId="0" fontId="0" fillId="0" borderId="24" pivotButton="0" quotePrefix="0" xfId="0"/>
    <xf numFmtId="0" fontId="0" fillId="0" borderId="25" pivotButton="0" quotePrefix="0" xfId="0"/>
    <xf numFmtId="0" fontId="0" fillId="0" borderId="53" pivotButton="0" quotePrefix="0" xfId="0"/>
    <xf numFmtId="0" fontId="16" fillId="0" borderId="37" applyAlignment="1" pivotButton="0" quotePrefix="0" xfId="0">
      <alignment horizontal="left" vertical="top" wrapText="1"/>
    </xf>
    <xf numFmtId="0" fontId="0" fillId="0" borderId="39" pivotButton="0" quotePrefix="0" xfId="0"/>
    <xf numFmtId="0" fontId="0" fillId="0" borderId="40" pivotButton="0" quotePrefix="0" xfId="0"/>
    <xf numFmtId="0" fontId="0" fillId="0" borderId="41" pivotButton="0" quotePrefix="0" xfId="0"/>
    <xf numFmtId="0" fontId="0" fillId="0" borderId="42" pivotButton="0" quotePrefix="0" xfId="0"/>
    <xf numFmtId="0" fontId="0" fillId="0" borderId="43" pivotButton="0" quotePrefix="0" xfId="0"/>
    <xf numFmtId="0" fontId="0" fillId="0" borderId="55" pivotButton="0" quotePrefix="0" xfId="0"/>
    <xf numFmtId="0" fontId="0" fillId="0" borderId="56" pivotButton="0" quotePrefix="0" xfId="0"/>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dxfs count="226">
    <dxf>
      <fill>
        <patternFill>
          <bgColor theme="4" tint="0.3999450666829432"/>
        </patternFill>
      </fill>
    </dxf>
    <dxf>
      <fill>
        <patternFill>
          <bgColor rgb="FFFFF2CC"/>
        </patternFill>
      </fill>
    </dxf>
    <dxf>
      <fill>
        <patternFill>
          <bgColor rgb="FFFCE4D6"/>
        </patternFill>
      </fill>
    </dxf>
    <dxf>
      <fill>
        <patternFill>
          <bgColor theme="0" tint="-0.249946592608417"/>
        </patternFill>
      </fill>
    </dxf>
    <dxf>
      <fill>
        <patternFill>
          <bgColor rgb="FFFF0000"/>
        </patternFill>
      </fill>
    </dxf>
    <dxf>
      <fill>
        <patternFill>
          <bgColor rgb="FF92D050"/>
        </patternFill>
      </fill>
    </dxf>
    <dxf>
      <fill>
        <patternFill>
          <bgColor rgb="FFFF0000"/>
        </patternFill>
      </fill>
    </dxf>
    <dxf>
      <fill>
        <patternFill>
          <bgColor rgb="FFC00000"/>
        </patternFill>
      </fill>
    </dxf>
    <dxf>
      <fill>
        <patternFill>
          <bgColor rgb="FFFFC000"/>
        </patternFill>
      </fill>
    </dxf>
    <dxf>
      <fill>
        <patternFill>
          <bgColor rgb="FFFFFF00"/>
        </patternFill>
      </fill>
    </dxf>
    <dxf>
      <font>
        <name val="Calibri"/>
        <family val="2"/>
        <strike val="0"/>
        <outline val="0"/>
        <shadow val="0"/>
        <condense val="0"/>
        <color auto="1"/>
        <extend val="0"/>
        <sz val="11"/>
        <vertAlign val="baseline"/>
        <scheme val="minor"/>
      </font>
      <alignment horizontal="center" vertical="center" wrapText="1"/>
    </dxf>
    <dxf>
      <font>
        <name val="Calibri"/>
        <family val="2"/>
        <strike val="0"/>
        <outline val="0"/>
        <shadow val="0"/>
        <condense val="0"/>
        <color auto="1"/>
        <extend val="0"/>
        <sz val="11"/>
        <vertAlign val="baseline"/>
        <scheme val="minor"/>
      </font>
      <alignment horizontal="center" vertical="center" wrapText="1"/>
    </dxf>
    <dxf>
      <font>
        <name val="Calibri"/>
        <family val="2"/>
        <strike val="0"/>
        <outline val="0"/>
        <shadow val="0"/>
        <condense val="0"/>
        <color auto="1"/>
        <extend val="0"/>
        <sz val="11"/>
        <vertAlign val="baseline"/>
        <scheme val="minor"/>
      </font>
      <alignment horizontal="center" vertical="center" wrapText="1"/>
    </dxf>
    <dxf>
      <font>
        <name val="Calibri"/>
        <family val="2"/>
        <strike val="0"/>
        <outline val="0"/>
        <shadow val="0"/>
        <color auto="1"/>
        <sz val="11"/>
        <vertAlign val="baseline"/>
        <scheme val="minor"/>
      </font>
      <alignment horizontal="left" vertical="center" wrapText="1"/>
    </dxf>
    <dxf>
      <font>
        <name val="Calibri"/>
        <family val="2"/>
        <strike val="0"/>
        <outline val="0"/>
        <shadow val="0"/>
        <color auto="1"/>
        <sz val="11"/>
        <vertAlign val="baseline"/>
        <scheme val="minor"/>
      </font>
      <alignment horizontal="center" vertical="center"/>
    </dxf>
    <dxf>
      <font>
        <name val="Calibri"/>
        <family val="2"/>
        <strike val="0"/>
        <outline val="0"/>
        <shadow val="0"/>
        <color auto="1"/>
        <sz val="11"/>
        <vertAlign val="baseline"/>
        <scheme val="minor"/>
      </font>
    </dxf>
    <dxf>
      <font>
        <name val="Calibri"/>
        <family val="2"/>
        <b val="1"/>
        <strike val="0"/>
        <outline val="0"/>
        <shadow val="0"/>
        <condense val="0"/>
        <color auto="1"/>
        <extend val="0"/>
        <sz val="11"/>
        <vertAlign val="baseline"/>
        <scheme val="minor"/>
      </font>
      <alignment horizontal="center" vertical="center" wrapText="1"/>
      <border outline="0">
        <left style="thin">
          <color indexed="64"/>
        </left>
        <right style="thin">
          <color indexed="64"/>
        </right>
        <top/>
        <bottom/>
      </border>
    </dxf>
    <dxf>
      <font>
        <name val="Calibri"/>
        <family val="2"/>
        <strike val="0"/>
        <outline val="0"/>
        <shadow val="0"/>
        <color auto="1"/>
        <sz val="11"/>
        <vertAlign val="baseline"/>
        <scheme val="minor"/>
      </font>
      <alignment horizontal="center" vertical="center" wrapText="1"/>
      <border outline="0">
        <left style="thin">
          <color indexed="64"/>
        </left>
        <right/>
        <top style="thin">
          <color indexed="64"/>
        </top>
        <bottom style="thin">
          <color indexed="64"/>
        </bottom>
      </border>
    </dxf>
    <dxf>
      <font>
        <name val="Calibri"/>
        <family val="2"/>
        <strike val="0"/>
        <outline val="0"/>
        <shadow val="0"/>
        <color auto="1"/>
        <sz val="11"/>
        <vertAlign val="baseline"/>
        <scheme val="minor"/>
      </font>
      <alignment horizontal="center" vertical="center" wrapText="1"/>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alignment horizontal="center" vertical="center" wrapText="1"/>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alignment horizontal="left" vertical="top" wrapText="1"/>
      <border outline="0">
        <left/>
        <right style="thin">
          <color indexed="64"/>
        </right>
        <top/>
        <bottom/>
      </border>
    </dxf>
    <dxf>
      <font>
        <name val="Calibri"/>
        <family val="2"/>
        <strike val="0"/>
        <outline val="0"/>
        <shadow val="0"/>
        <color auto="1"/>
        <sz val="11"/>
        <vertAlign val="baseline"/>
        <scheme val="minor"/>
      </font>
      <alignment horizontal="center" vertical="center" wrapText="1"/>
      <border outline="0">
        <left style="thin">
          <color auto="1"/>
        </left>
        <right/>
        <top/>
        <bottom/>
      </border>
    </dxf>
    <dxf>
      <border>
        <top style="thin">
          <color indexed="64"/>
        </top>
      </border>
    </dxf>
    <dxf>
      <border>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alignment horizontal="center" vertical="center" wrapText="1"/>
    </dxf>
    <dxf>
      <border>
        <bottom style="thin">
          <color indexed="64"/>
        </bottom>
      </border>
    </dxf>
    <dxf>
      <font>
        <name val="Calibri"/>
        <family val="2"/>
        <b val="1"/>
        <strike val="0"/>
        <outline val="0"/>
        <shadow val="0"/>
        <condense val="0"/>
        <color auto="1"/>
        <extend val="0"/>
        <sz val="11"/>
        <vertAlign val="baseline"/>
        <scheme val="minor"/>
      </font>
      <alignment horizontal="center" vertical="center" wrapText="1"/>
      <border outline="0">
        <left style="thin">
          <color indexed="64"/>
        </left>
        <right style="thin">
          <color indexed="64"/>
        </right>
        <top/>
        <bottom/>
      </border>
    </dxf>
    <dxf>
      <font>
        <name val="Calibri"/>
        <family val="2"/>
        <strike val="0"/>
        <outline val="0"/>
        <shadow val="0"/>
        <condense val="0"/>
        <color auto="1"/>
        <extend val="0"/>
        <sz val="11"/>
        <vertAlign val="baseline"/>
        <scheme val="minor"/>
      </font>
      <fill>
        <patternFill>
          <fgColor indexed="64"/>
          <bgColor indexed="65"/>
        </patternFill>
      </fill>
      <alignment horizontal="center" vertical="center" wrapText="1"/>
      <border>
        <left style="thin">
          <color indexed="64"/>
        </left>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alignment horizontal="center" vertical="center" wrapText="1"/>
      <border>
        <left style="thin">
          <color indexed="64"/>
        </left>
        <right style="thin">
          <color indexed="64"/>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alignment horizontal="center" vertical="center" wrapText="1"/>
      <border>
        <left style="thin">
          <color indexed="64"/>
        </left>
        <right style="thin">
          <color indexed="64"/>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alignment horizontal="left" vertical="center"/>
      <border>
        <left style="thin">
          <color indexed="64"/>
        </left>
        <right style="thin">
          <color indexed="64"/>
        </right>
        <top style="thin">
          <color indexed="64"/>
        </top>
        <bottom style="thin">
          <color indexed="64"/>
        </bottom>
        <vertical/>
        <horizontal/>
      </border>
    </dxf>
    <dxf>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Calibri"/>
        <family val="2"/>
        <b val="1"/>
        <strike val="0"/>
        <outline val="0"/>
        <shadow val="0"/>
        <condense val="0"/>
        <color auto="1"/>
        <extend val="0"/>
        <sz val="11"/>
        <vertAlign val="baseline"/>
        <scheme val="minor"/>
      </font>
      <fill>
        <patternFill>
          <fgColor indexed="64"/>
          <bgColor indexed="65"/>
        </patternFill>
      </fill>
      <alignment horizontal="center" vertical="center" wrapText="1"/>
      <border outline="0">
        <left style="thin">
          <color indexed="64"/>
        </left>
        <right style="thin">
          <color indexed="64"/>
        </right>
        <top/>
        <bottom/>
      </border>
    </dxf>
    <dxf>
      <font>
        <name val="Calibri"/>
        <family val="2"/>
        <strike val="0"/>
        <outline val="0"/>
        <shadow val="0"/>
        <condense val="0"/>
        <color auto="1"/>
        <extend val="0"/>
        <sz val="11"/>
        <vertAlign val="baseline"/>
        <scheme val="minor"/>
      </font>
      <alignment horizontal="center" vertical="center" wrapText="1"/>
      <border outline="0">
        <left style="thin">
          <color indexed="64"/>
        </left>
        <right style="thin">
          <color indexed="64"/>
        </right>
        <top style="thin">
          <color indexed="64"/>
        </top>
        <bottom style="thin">
          <color indexed="64"/>
        </bottom>
      </border>
    </dxf>
    <dxf>
      <font>
        <name val="Calibri"/>
        <family val="2"/>
        <strike val="0"/>
        <outline val="0"/>
        <shadow val="0"/>
        <condense val="0"/>
        <color auto="1"/>
        <extend val="0"/>
        <sz val="11"/>
        <vertAlign val="baseline"/>
        <scheme val="minor"/>
      </font>
      <alignment horizontal="center" vertical="center" wrapText="1"/>
      <border outline="0">
        <left style="thin">
          <color indexed="64"/>
        </left>
        <right style="thin">
          <color indexed="64"/>
        </right>
        <top style="thin">
          <color indexed="64"/>
        </top>
        <bottom style="thin">
          <color indexed="64"/>
        </bottom>
      </border>
    </dxf>
    <dxf>
      <font>
        <name val="Calibri"/>
        <family val="2"/>
        <strike val="0"/>
        <outline val="0"/>
        <shadow val="0"/>
        <condense val="0"/>
        <color auto="1"/>
        <extend val="0"/>
        <sz val="11"/>
        <vertAlign val="baseline"/>
        <scheme val="minor"/>
      </font>
      <alignment horizontal="center" vertical="center" wrapText="1"/>
      <border outline="0">
        <left style="thin">
          <color indexed="64"/>
        </left>
        <right style="thin">
          <color indexed="64"/>
        </right>
        <top style="thin">
          <color indexed="64"/>
        </top>
        <bottom style="thin">
          <color indexed="64"/>
        </bottom>
      </border>
    </dxf>
    <dxf>
      <font>
        <name val="Calibri"/>
        <family val="2"/>
        <strike val="0"/>
        <outline val="0"/>
        <shadow val="0"/>
        <condense val="0"/>
        <color auto="1"/>
        <extend val="0"/>
        <sz val="11"/>
        <vertAlign val="baseline"/>
        <scheme val="minor"/>
      </font>
      <alignment horizontal="left" vertical="top" wrapText="1"/>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alignment horizontal="center" vertical="center" wrapText="1"/>
      <border outline="0">
        <left/>
        <right style="thin">
          <color indexed="64"/>
        </right>
        <top style="thin">
          <color indexed="64"/>
        </top>
        <bottom style="thin">
          <color indexed="64"/>
        </bottom>
      </border>
    </dxf>
    <dxf>
      <border outline="0">
        <left style="thin">
          <color indexed="64"/>
        </left>
        <top style="thin">
          <color indexed="64"/>
        </top>
        <bottom style="thin">
          <color indexed="64"/>
        </bottom>
      </border>
    </dxf>
    <dxf>
      <font>
        <name val="Calibri"/>
        <family val="2"/>
        <strike val="0"/>
        <outline val="0"/>
        <shadow val="0"/>
        <condense val="0"/>
        <color auto="1"/>
        <extend val="0"/>
        <sz val="11"/>
        <vertAlign val="baseline"/>
        <scheme val="minor"/>
      </font>
      <alignment horizontal="center" vertical="center" wrapText="1"/>
    </dxf>
    <dxf>
      <font>
        <name val="Calibri"/>
        <family val="2"/>
        <strike val="0"/>
        <outline val="0"/>
        <shadow val="0"/>
        <color auto="1"/>
        <sz val="11"/>
        <vertAlign val="baseline"/>
        <scheme val="minor"/>
      </font>
      <alignment horizontal="center" wrapText="1"/>
    </dxf>
    <dxf>
      <font>
        <name val="Calibri"/>
        <family val="2"/>
        <strike val="0"/>
        <outline val="0"/>
        <shadow val="0"/>
        <condense val="0"/>
        <color auto="1"/>
        <extend val="0"/>
        <sz val="11"/>
        <vertAlign val="baseline"/>
        <scheme val="minor"/>
      </font>
      <fill>
        <patternFill>
          <fgColor indexed="64"/>
          <bgColor indexed="65"/>
        </patternFill>
      </fill>
      <alignment horizontal="general" vertical="center" wrapText="1"/>
      <border>
        <left style="thin">
          <color indexed="64"/>
        </left>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alignment horizontal="general" vertical="center" wrapText="1"/>
      <border>
        <left style="thin">
          <color indexed="64"/>
        </left>
        <right style="thin">
          <color indexed="64"/>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alignment horizontal="general" vertical="center" wrapText="1"/>
      <border>
        <left style="thin">
          <color indexed="64"/>
        </left>
        <right style="thin">
          <color indexed="64"/>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border>
        <left style="thin">
          <color indexed="64"/>
        </left>
        <right style="thin">
          <color indexed="64"/>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border>
        <left style="thin">
          <color indexed="64"/>
        </left>
        <right style="thin">
          <color indexed="64"/>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border>
        <left style="thin">
          <color indexed="64"/>
        </left>
        <right style="thin">
          <color indexed="64"/>
        </right>
        <top style="thin">
          <color indexed="64"/>
        </top>
        <bottom style="thin">
          <color indexed="64"/>
        </bottom>
        <vertical/>
        <horizontal/>
      </border>
    </dxf>
    <dxf>
      <font>
        <name val="Calibri"/>
        <family val="2"/>
        <strike val="0"/>
        <outline val="0"/>
        <shadow val="0"/>
        <condense val="0"/>
        <color auto="1"/>
        <extend val="0"/>
        <sz val="11"/>
        <vertAlign val="baseline"/>
        <scheme val="minor"/>
      </font>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Calibri"/>
        <family val="2"/>
        <b val="1"/>
        <strike val="0"/>
        <outline val="0"/>
        <shadow val="0"/>
        <condense val="0"/>
        <color auto="1"/>
        <extend val="0"/>
        <sz val="11"/>
        <vertAlign val="baseline"/>
        <scheme val="minor"/>
      </font>
      <fill>
        <patternFill>
          <fgColor indexed="64"/>
          <bgColor indexed="65"/>
        </patternFill>
      </fill>
      <alignment horizontal="center" vertical="center" wrapText="1"/>
      <border outline="0">
        <left style="thin">
          <color indexed="64"/>
        </left>
        <right style="thin">
          <color indexed="64"/>
        </right>
        <top/>
        <bottom/>
      </border>
    </dxf>
    <dxf>
      <font>
        <name val="Calibri"/>
        <family val="2"/>
        <strike val="0"/>
        <outline val="0"/>
        <shadow val="0"/>
        <color auto="1"/>
        <sz val="11"/>
        <vertAlign val="baseline"/>
        <scheme val="minor"/>
      </font>
      <fill>
        <patternFill>
          <fgColor indexed="64"/>
          <bgColor indexed="65"/>
        </patternFill>
      </fill>
      <alignment horizontal="center" vertical="center"/>
      <border outline="0">
        <left style="thin">
          <color indexed="64"/>
        </left>
        <right/>
        <top style="thin">
          <color indexed="64"/>
        </top>
        <bottom style="thin">
          <color indexed="64"/>
        </bottom>
      </border>
    </dxf>
    <dxf>
      <font>
        <name val="Calibri"/>
        <family val="2"/>
        <strike val="0"/>
        <outline val="0"/>
        <shadow val="0"/>
        <color auto="1"/>
        <sz val="11"/>
        <vertAlign val="baseline"/>
        <scheme val="minor"/>
      </font>
      <fill>
        <patternFill>
          <fgColor indexed="64"/>
          <bgColor indexed="65"/>
        </patternFill>
      </fill>
      <alignment horizontal="center" vertical="center"/>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fill>
        <patternFill>
          <fgColor indexed="64"/>
          <bgColor indexed="65"/>
        </patternFill>
      </fill>
      <alignment horizontal="center" vertical="center"/>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fill>
        <patternFill>
          <fgColor indexed="64"/>
          <bgColor indexed="65"/>
        </patternFill>
      </fill>
      <alignment horizontal="center" vertical="center"/>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fill>
        <patternFill>
          <fgColor indexed="64"/>
          <bgColor indexed="65"/>
        </patternFill>
      </fill>
      <alignment horizontal="center" vertical="center"/>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fill>
        <patternFill>
          <fgColor indexed="64"/>
          <bgColor indexed="65"/>
        </patternFill>
      </fill>
      <alignment horizontal="center" vertical="center"/>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fill>
        <patternFill>
          <fgColor indexed="64"/>
          <bgColor indexed="65"/>
        </patternFill>
      </fill>
      <alignment horizontal="center" vertical="center"/>
      <border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name val="Calibri"/>
        <family val="2"/>
        <strike val="0"/>
        <outline val="0"/>
        <shadow val="0"/>
        <color auto="1"/>
        <sz val="11"/>
        <vertAlign val="baseline"/>
        <scheme val="minor"/>
      </font>
      <fill>
        <patternFill>
          <fgColor indexed="64"/>
          <bgColor indexed="65"/>
        </patternFill>
      </fill>
      <alignment horizontal="center" vertical="center"/>
    </dxf>
    <dxf>
      <border outline="0">
        <bottom style="thin">
          <color indexed="64"/>
        </bottom>
      </border>
    </dxf>
    <dxf>
      <font>
        <name val="Calibri"/>
        <family val="2"/>
        <b val="1"/>
        <strike val="0"/>
        <outline val="0"/>
        <shadow val="0"/>
        <condense val="0"/>
        <color auto="1"/>
        <extend val="0"/>
        <sz val="11"/>
        <vertAlign val="baseline"/>
        <scheme val="minor"/>
      </font>
      <fill>
        <patternFill>
          <fgColor indexed="64"/>
          <bgColor indexed="65"/>
        </patternFill>
      </fill>
      <alignment horizontal="center" vertical="center"/>
      <border outline="0">
        <left style="thin">
          <color indexed="64"/>
        </left>
        <right style="thin">
          <color indexed="64"/>
        </right>
        <top/>
        <bottom/>
      </border>
    </dxf>
    <dxf>
      <font>
        <strike val="0"/>
        <outline val="0"/>
        <shadow val="0"/>
        <color auto="1"/>
        <vertAlign val="baseline"/>
      </font>
      <alignment horizontal="center" vertical="center" wrapText="1"/>
      <border outline="0">
        <left style="thin">
          <color indexed="64"/>
        </left>
        <right style="thin">
          <color indexed="64"/>
        </right>
        <top style="thin">
          <color indexed="64"/>
        </top>
        <bottom style="thin">
          <color indexed="64"/>
        </bottom>
      </border>
    </dxf>
    <dxf>
      <font>
        <strike val="0"/>
        <outline val="0"/>
        <shadow val="0"/>
        <color auto="1"/>
        <vertAlign val="baseline"/>
      </font>
      <alignment horizontal="center" vertical="center" wrapText="1"/>
      <border outline="0">
        <left style="thin">
          <color indexed="64"/>
        </left>
        <right style="thin">
          <color indexed="64"/>
        </right>
        <top style="thin">
          <color indexed="64"/>
        </top>
        <bottom style="thin">
          <color indexed="64"/>
        </bottom>
      </border>
    </dxf>
    <dxf>
      <font>
        <strike val="0"/>
        <outline val="0"/>
        <shadow val="0"/>
        <color auto="1"/>
        <vertAlign val="baseline"/>
      </font>
      <alignment horizontal="left" vertical="center" wrapText="1"/>
      <border outline="0">
        <left style="thin">
          <color indexed="64"/>
        </left>
        <right style="thin">
          <color indexed="64"/>
        </right>
        <top style="thin">
          <color indexed="64"/>
        </top>
        <bottom style="thin">
          <color indexed="64"/>
        </bottom>
      </border>
    </dxf>
    <dxf>
      <font>
        <strike val="0"/>
        <outline val="0"/>
        <shadow val="0"/>
        <color auto="1"/>
        <vertAlign val="baseline"/>
      </font>
      <alignment horizontal="center" vertical="center" wrapText="1"/>
      <border outline="0">
        <left style="thin">
          <color indexed="64"/>
        </left>
        <right style="thin">
          <color indexed="64"/>
        </right>
        <top style="thin">
          <color indexed="64"/>
        </top>
        <bottom style="thin">
          <color indexed="64"/>
        </bottom>
      </border>
    </dxf>
    <dxf>
      <font>
        <strike val="0"/>
        <outline val="0"/>
        <shadow val="0"/>
        <color auto="1"/>
        <vertAlign val="baseline"/>
      </font>
      <fill>
        <patternFill>
          <fgColor indexed="64"/>
          <bgColor indexed="65"/>
        </patternFill>
      </fill>
      <alignment horizontal="center" vertical="center" wrapText="1"/>
      <border outline="0">
        <left style="thin">
          <color indexed="64"/>
        </left>
        <right style="thin">
          <color indexed="64"/>
        </right>
        <top style="thin">
          <color indexed="64"/>
        </top>
        <bottom style="thin">
          <color indexed="64"/>
        </bottom>
      </border>
    </dxf>
    <dxf>
      <font>
        <strike val="0"/>
        <outline val="0"/>
        <shadow val="0"/>
        <color auto="1"/>
        <vertAlign val="baseline"/>
      </font>
      <border outline="0">
        <left style="thin">
          <color indexed="64"/>
        </left>
        <right style="thin">
          <color indexed="64"/>
        </right>
        <top style="thin">
          <color indexed="64"/>
        </top>
        <bottom style="thin">
          <color indexed="64"/>
        </bottom>
      </border>
    </dxf>
    <dxf>
      <font>
        <strike val="0"/>
        <outline val="0"/>
        <shadow val="0"/>
        <color auto="1"/>
        <vertAlign val="baseline"/>
      </font>
      <border outline="0">
        <left style="thin">
          <color indexed="64"/>
        </left>
        <right style="thin">
          <color indexed="64"/>
        </right>
        <top style="thin">
          <color indexed="64"/>
        </top>
        <bottom style="thin">
          <color indexed="64"/>
        </bottom>
      </border>
    </dxf>
    <dxf>
      <font>
        <strike val="0"/>
        <outline val="0"/>
        <shadow val="0"/>
        <color auto="1"/>
        <vertAlign val="baseline"/>
      </font>
      <border outline="0">
        <left style="thin">
          <color indexed="64"/>
        </left>
        <right style="thin">
          <color indexed="64"/>
        </right>
        <top style="thin">
          <color indexed="64"/>
        </top>
        <bottom style="thin">
          <color indexed="64"/>
        </bottom>
      </border>
    </dxf>
    <dxf>
      <font>
        <strike val="0"/>
        <outline val="0"/>
        <shadow val="0"/>
        <color auto="1"/>
        <vertAlign val="baseline"/>
      </font>
      <alignment horizontal="center" vertical="bottom"/>
      <border outline="0">
        <left style="thin">
          <color indexed="64"/>
        </left>
        <right style="thin">
          <color indexed="64"/>
        </right>
        <top style="thin">
          <color indexed="64"/>
        </top>
        <bottom style="thin">
          <color indexed="64"/>
        </bottom>
      </border>
    </dxf>
    <dxf>
      <font>
        <strike val="0"/>
        <outline val="0"/>
        <shadow val="0"/>
        <color auto="1"/>
        <vertAlign val="baseline"/>
      </font>
      <alignment horizontal="center" vertical="bottom"/>
      <border outline="0">
        <left style="thin">
          <color indexed="64"/>
        </left>
        <right style="thin">
          <color indexed="64"/>
        </right>
        <top style="thin">
          <color indexed="64"/>
        </top>
        <bottom style="thin">
          <color indexed="64"/>
        </bottom>
      </border>
    </dxf>
    <dxf>
      <font>
        <strike val="0"/>
        <outline val="0"/>
        <shadow val="0"/>
        <color auto="1"/>
        <vertAlign val="baseline"/>
      </font>
      <border outline="0">
        <left style="thin">
          <color indexed="64"/>
        </left>
        <right style="thin">
          <color indexed="64"/>
        </right>
        <top style="thin">
          <color indexed="64"/>
        </top>
        <bottom style="thin">
          <color indexed="64"/>
        </bottom>
      </border>
    </dxf>
    <dxf>
      <font>
        <strike val="0"/>
        <outline val="0"/>
        <shadow val="0"/>
        <color auto="1"/>
        <vertAlign val="baseline"/>
      </font>
      <alignment horizontal="center" vertical="center"/>
      <border outline="0">
        <left/>
        <right style="thin">
          <color indexed="64"/>
        </right>
        <top style="thin">
          <color indexed="64"/>
        </top>
        <bottom style="thin">
          <color indexed="64"/>
        </bottom>
      </border>
    </dxf>
    <dxf>
      <border outline="0">
        <left style="thin">
          <color indexed="64"/>
        </left>
        <top style="thin">
          <color indexed="64"/>
        </top>
        <bottom style="thin">
          <color indexed="64"/>
        </bottom>
      </border>
    </dxf>
    <dxf>
      <font>
        <family val="2"/>
        <strike val="0"/>
        <outline val="0"/>
        <shadow val="0"/>
        <color auto="1"/>
        <vertAlign val="baseline"/>
      </font>
      <alignment horizontal="center" vertical="center" wrapText="1"/>
    </dxf>
    <dxf>
      <font>
        <name val="Calibri"/>
        <family val="2"/>
        <b val="1"/>
        <strike val="0"/>
        <outline val="0"/>
        <shadow val="0"/>
        <condense val="0"/>
        <color auto="1"/>
        <extend val="0"/>
        <sz val="11"/>
        <vertAlign val="baseline"/>
        <scheme val="minor"/>
      </font>
      <alignment horizontal="center" vertical="center" wrapText="1"/>
      <border outline="0">
        <left style="thin">
          <color indexed="64"/>
        </left>
        <right style="thin">
          <color indexed="64"/>
        </right>
        <top/>
        <bottom/>
      </border>
    </dxf>
    <dxf>
      <alignment horizontal="left" wrapText="1"/>
    </dxf>
    <dxf>
      <alignment horizontal="left" wrapText="1"/>
    </dxf>
    <dxf>
      <alignment horizontal="left" wrapText="1"/>
    </dxf>
    <dxf>
      <alignment horizontal="left" wrapText="1"/>
    </dxf>
    <dxf>
      <alignment horizontal="left" wrapText="1"/>
    </dxf>
    <dxf>
      <font>
        <name val="Calibri"/>
        <family val="2"/>
        <strike val="0"/>
        <outline val="0"/>
        <shadow val="0"/>
        <color auto="1"/>
        <sz val="11"/>
        <vertAlign val="baseline"/>
        <scheme val="minor"/>
      </font>
      <alignment horizontal="left" wrapText="1"/>
    </dxf>
    <dxf>
      <font>
        <name val="Calibri"/>
        <family val="2"/>
        <strike val="0"/>
        <outline val="0"/>
        <shadow val="0"/>
        <condense val="0"/>
        <color auto="1"/>
        <extend val="0"/>
        <sz val="11"/>
        <vertAlign val="baseline"/>
        <scheme val="minor"/>
      </font>
      <fill>
        <patternFill patternType="solid">
          <fgColor theme="4" tint="0.7999816888943144"/>
          <bgColor theme="4" tint="0.7999816888943144"/>
        </patternFill>
      </fill>
      <alignment horizontal="center" vertical="center" wrapText="1"/>
      <border outline="0">
        <left style="thin">
          <color indexed="64"/>
        </left>
        <right style="thin">
          <color indexed="64"/>
        </right>
        <top style="thin">
          <color indexed="64"/>
        </top>
        <bottom style="thin">
          <color indexed="64"/>
        </bottom>
      </border>
    </dxf>
    <dxf>
      <font>
        <name val="Calibri"/>
        <family val="2"/>
        <strike val="0"/>
        <outline val="0"/>
        <shadow val="0"/>
        <condense val="0"/>
        <color auto="1"/>
        <extend val="0"/>
        <sz val="11"/>
        <vertAlign val="baseline"/>
        <scheme val="minor"/>
      </font>
      <fill>
        <patternFill patternType="solid">
          <fgColor theme="4" tint="0.7999816888943144"/>
          <bgColor theme="4" tint="0.7999816888943144"/>
        </patternFill>
      </fill>
      <alignment horizontal="center" vertical="center" wrapText="1"/>
      <border outline="0">
        <left style="thin">
          <color indexed="64"/>
        </left>
        <right style="thin">
          <color indexed="64"/>
        </right>
        <top style="thin">
          <color indexed="64"/>
        </top>
        <bottom style="thin">
          <color indexed="64"/>
        </bottom>
      </border>
    </dxf>
    <dxf>
      <font>
        <name val="Calibri"/>
        <family val="2"/>
        <strike val="0"/>
        <outline val="0"/>
        <shadow val="0"/>
        <condense val="0"/>
        <color auto="1"/>
        <extend val="0"/>
        <sz val="11"/>
        <vertAlign val="baseline"/>
        <scheme val="minor"/>
      </font>
      <fill>
        <patternFill patternType="solid">
          <fgColor theme="4" tint="0.7999816888943144"/>
          <bgColor theme="4" tint="0.7999816888943144"/>
        </patternFill>
      </fill>
      <alignment horizontal="left" vertical="center" wrapText="1"/>
      <border outline="0">
        <left style="thin">
          <color indexed="64"/>
        </left>
        <right style="thin">
          <color indexed="64"/>
        </right>
        <top style="thin">
          <color indexed="64"/>
        </top>
        <bottom style="thin">
          <color indexed="64"/>
        </bottom>
      </border>
    </dxf>
    <dxf>
      <font>
        <strike val="0"/>
        <outline val="0"/>
        <shadow val="0"/>
        <color auto="1"/>
        <vertAlign val="baseline"/>
      </font>
      <alignment horizontal="general" vertical="center" wrapText="1"/>
      <border outline="0">
        <left/>
        <right style="thin">
          <color indexed="64"/>
        </right>
        <top style="thin">
          <color indexed="64"/>
        </top>
        <bottom style="thin">
          <color indexed="64"/>
        </bottom>
      </border>
    </dxf>
    <dxf>
      <border outline="0">
        <left style="thin">
          <color indexed="64"/>
        </left>
        <top style="thin">
          <color indexed="64"/>
        </top>
        <bottom style="thin">
          <color indexed="64"/>
        </bottom>
      </border>
    </dxf>
    <dxf>
      <font>
        <strike val="0"/>
        <outline val="0"/>
        <shadow val="0"/>
        <color auto="1"/>
        <vertAlign val="baseline"/>
      </font>
    </dxf>
    <dxf>
      <font>
        <name val="Calibri"/>
        <family val="2"/>
        <b val="1"/>
        <strike val="0"/>
        <outline val="0"/>
        <shadow val="0"/>
        <condense val="0"/>
        <color auto="1"/>
        <extend val="0"/>
        <sz val="11"/>
        <vertAlign val="baseline"/>
        <scheme val="minor"/>
      </font>
      <fill>
        <patternFill patternType="solid">
          <fgColor theme="4"/>
          <bgColor theme="4"/>
        </patternFill>
      </fill>
      <alignment horizontal="center" vertical="center" wrapText="1"/>
      <border outline="0">
        <left style="thin">
          <color indexed="64"/>
        </left>
        <right style="thin">
          <color indexed="64"/>
        </right>
        <top/>
        <bottom/>
      </border>
    </dxf>
    <dxf>
      <font>
        <name val="Times New Roman"/>
        <family val="1"/>
        <strike val="0"/>
        <outline val="0"/>
        <shadow val="0"/>
        <sz val="10"/>
        <vertAlign val="baseline"/>
      </font>
      <numFmt numFmtId="0" formatCode="General"/>
      <alignment horizontal="center" vertical="center" wrapText="1"/>
      <border>
        <left style="thin">
          <color indexed="64"/>
        </left>
        <right style="thin">
          <color indexed="64"/>
        </right>
        <top style="thin">
          <color indexed="64"/>
        </top>
        <bottom style="thin">
          <color indexed="64"/>
        </bottom>
      </border>
    </dxf>
    <dxf>
      <font>
        <name val="Times New Roman"/>
        <family val="1"/>
        <strike val="0"/>
        <outline val="0"/>
        <shadow val="0"/>
        <sz val="10"/>
        <vertAlign val="baseline"/>
      </font>
      <numFmt numFmtId="0" formatCode="General"/>
      <alignment horizontal="center" vertical="center" wrapText="1"/>
      <border>
        <left style="thin">
          <color indexed="64"/>
        </left>
        <right style="thin">
          <color indexed="64"/>
        </right>
        <top style="thin">
          <color indexed="64"/>
        </top>
        <bottom style="thin">
          <color indexed="64"/>
        </bottom>
      </border>
    </dxf>
    <dxf>
      <font>
        <name val="Times New Roman"/>
        <family val="1"/>
        <strike val="0"/>
        <outline val="0"/>
        <shadow val="0"/>
        <sz val="10"/>
        <vertAlign val="baseline"/>
      </font>
      <numFmt numFmtId="0" formatCode="General"/>
      <alignment horizontal="center" vertical="center" wrapText="1"/>
      <border outline="0">
        <left style="thin">
          <color indexed="64"/>
        </left>
        <right style="thin">
          <color indexed="64"/>
        </right>
        <top style="thin">
          <color indexed="64"/>
        </top>
        <bottom style="thin">
          <color indexed="64"/>
        </bottom>
      </border>
    </dxf>
    <dxf>
      <font>
        <name val="Times New Roman"/>
        <family val="1"/>
        <strike val="0"/>
        <outline val="0"/>
        <shadow val="0"/>
        <sz val="10"/>
        <vertAlign val="baseline"/>
      </font>
      <numFmt numFmtId="0" formatCode="General"/>
      <alignment horizontal="center" vertical="center" wrapText="1"/>
      <border outline="0">
        <left style="thin">
          <color indexed="64"/>
        </left>
        <right style="thin">
          <color indexed="64"/>
        </right>
        <top style="thin">
          <color indexed="64"/>
        </top>
        <bottom style="thin">
          <color indexed="64"/>
        </bottom>
      </border>
    </dxf>
    <dxf>
      <font>
        <name val="Times New Roman"/>
        <family val="1"/>
        <strike val="0"/>
        <outline val="0"/>
        <shadow val="0"/>
        <sz val="10"/>
        <vertAlign val="baseline"/>
      </font>
      <numFmt numFmtId="0" formatCode="General"/>
      <alignment horizontal="center" vertical="center" wrapText="1"/>
      <border outline="0">
        <left style="thin">
          <color indexed="64"/>
        </left>
        <right style="thin">
          <color indexed="64"/>
        </right>
        <top style="thin">
          <color indexed="64"/>
        </top>
        <bottom style="thin">
          <color indexed="64"/>
        </bottom>
      </border>
    </dxf>
    <dxf>
      <font>
        <name val="Times New Roman"/>
        <family val="1"/>
        <strike val="0"/>
        <outline val="0"/>
        <shadow val="0"/>
        <sz val="10"/>
        <vertAlign val="baseline"/>
      </font>
      <numFmt numFmtId="0" formatCode="Genera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Times New Roman"/>
        <family val="1"/>
        <strike val="0"/>
        <outline val="0"/>
        <shadow val="0"/>
        <sz val="10"/>
        <vertAlign val="baseline"/>
      </font>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name val="Times New Roman"/>
        <family val="1"/>
        <strike val="0"/>
        <outline val="0"/>
        <shadow val="0"/>
        <sz val="10"/>
        <vertAlign val="baseline"/>
      </font>
      <alignment horizontal="center" vertical="center" wrapText="1"/>
    </dxf>
    <dxf>
      <border outline="0">
        <bottom style="thin">
          <color indexed="64"/>
        </bottom>
      </border>
    </dxf>
    <dxf>
      <font>
        <name val="Times New Roman"/>
        <family val="1"/>
        <strike val="0"/>
        <outline val="0"/>
        <shadow val="0"/>
        <sz val="10"/>
        <vertAlign val="baseline"/>
      </font>
      <alignment horizontal="center" vertical="center" wrapText="1"/>
      <border outline="0">
        <left style="thin">
          <color indexed="64"/>
        </left>
        <right style="thin">
          <color indexed="64"/>
        </right>
        <top/>
        <bottom/>
      </border>
    </dxf>
    <dxf>
      <font>
        <name val="Tahoma"/>
        <family val="2"/>
        <strike val="0"/>
        <outline val="0"/>
        <shadow val="0"/>
        <color theme="1"/>
        <sz val="10"/>
        <vertAlign val="baseline"/>
      </font>
      <fill>
        <patternFill>
          <fgColor indexed="64"/>
          <bgColor auto="1"/>
        </patternFill>
      </fill>
      <alignment horizontal="center" vertical="center" wrapText="1"/>
      <border>
        <left style="thin">
          <color indexed="64"/>
        </left>
        <right style="thin">
          <color indexed="64"/>
        </right>
        <top style="thin">
          <color indexed="64"/>
        </top>
        <bottom style="thin">
          <color indexed="64"/>
        </bottom>
      </border>
    </dxf>
    <dxf>
      <font>
        <name val="Tahoma"/>
        <family val="2"/>
        <strike val="0"/>
        <outline val="0"/>
        <shadow val="0"/>
        <color theme="1"/>
        <sz val="10"/>
        <vertAlign val="baseline"/>
      </font>
      <alignment horizontal="center" vertical="center"/>
      <border>
        <left style="thin">
          <color indexed="64"/>
        </left>
        <right style="thin">
          <color indexed="64"/>
        </right>
        <top style="thin">
          <color indexed="64"/>
        </top>
        <bottom style="thin">
          <color indexed="64"/>
        </bottom>
      </border>
    </dxf>
    <dxf>
      <font>
        <name val="Tahoma"/>
        <family val="2"/>
        <strike val="0"/>
        <outline val="0"/>
        <shadow val="0"/>
        <color theme="1"/>
        <sz val="10"/>
        <vertAlign val="baseline"/>
      </font>
      <alignment horizontal="center" vertical="center" wrapText="1"/>
      <border>
        <left style="thin">
          <color indexed="64"/>
        </left>
        <right style="thin">
          <color indexed="64"/>
        </right>
        <top style="thin">
          <color indexed="64"/>
        </top>
        <bottom style="thin">
          <color indexed="64"/>
        </bottom>
        <vertical/>
        <horizontal/>
      </border>
    </dxf>
    <dxf>
      <font>
        <name val="Tahoma"/>
        <family val="2"/>
        <strike val="0"/>
        <outline val="0"/>
        <shadow val="0"/>
        <color theme="1"/>
        <sz val="10"/>
        <vertAlign val="baseline"/>
      </font>
      <alignment horizontal="center" vertical="center"/>
      <border>
        <left style="medium">
          <color indexed="64"/>
        </left>
        <right style="thin">
          <color indexed="64"/>
        </right>
        <top style="thin">
          <color indexed="64"/>
        </top>
        <bottom style="thin">
          <color indexed="64"/>
        </bottom>
        <vertical/>
        <horizontal/>
      </border>
    </dxf>
    <dxf>
      <font>
        <name val="Tahoma"/>
        <family val="2"/>
        <strike val="0"/>
        <outline val="0"/>
        <shadow val="0"/>
        <color theme="1"/>
        <sz val="10"/>
        <vertAlign val="baseline"/>
      </font>
      <alignment horizontal="center" vertical="center" wrapText="1"/>
      <border>
        <left style="thin">
          <color indexed="64"/>
        </left>
        <right style="thin">
          <color indexed="64"/>
        </right>
        <top style="thin">
          <color indexed="64"/>
        </top>
        <bottom style="thin">
          <color indexed="64"/>
        </bottom>
      </border>
    </dxf>
    <dxf>
      <font>
        <name val="Tahoma"/>
        <family val="2"/>
        <strike val="0"/>
        <outline val="0"/>
        <shadow val="0"/>
        <color theme="1"/>
        <sz val="10"/>
        <vertAlign val="baseline"/>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dxf>
    <dxf>
      <font>
        <name val="Tahoma"/>
        <family val="2"/>
        <strike val="0"/>
        <outline val="0"/>
        <shadow val="0"/>
        <color theme="1"/>
        <sz val="10"/>
        <vertAlign val="baseline"/>
      </font>
      <alignment horizontal="center" vertical="center" wrapText="1"/>
      <border outline="0">
        <left style="thin">
          <color indexed="64"/>
        </left>
        <right style="thin">
          <color indexed="64"/>
        </right>
        <top style="thin">
          <color indexed="64"/>
        </top>
        <bottom style="thin">
          <color indexed="64"/>
        </bottom>
      </border>
    </dxf>
    <dxf>
      <font>
        <name val="Tahoma"/>
        <family val="2"/>
        <strike val="0"/>
        <outline val="0"/>
        <shadow val="0"/>
        <color theme="1"/>
        <sz val="10"/>
        <vertAlign val="baseline"/>
      </font>
      <alignment horizontal="center" vertical="center"/>
      <border outline="0">
        <left style="medium">
          <color indexed="64"/>
        </left>
        <right style="thin">
          <color indexed="64"/>
        </right>
        <top style="thin">
          <color indexed="64"/>
        </top>
        <bottom style="thin">
          <color indexed="64"/>
        </bottom>
      </border>
    </dxf>
    <dxf>
      <font>
        <name val="Tahoma"/>
        <family val="2"/>
        <strike val="0"/>
        <outline val="0"/>
        <shadow val="0"/>
        <color theme="1"/>
        <sz val="10"/>
        <vertAlign val="baseline"/>
      </font>
      <alignment horizontal="center" vertical="center"/>
    </dxf>
    <dxf>
      <border>
        <bottom style="thin">
          <color indexed="64"/>
        </bottom>
      </border>
    </dxf>
    <dxf>
      <font>
        <name val="Times New Roman"/>
        <family val="1"/>
        <strike val="0"/>
        <outline val="0"/>
        <shadow val="0"/>
        <color theme="0"/>
        <sz val="10"/>
        <vertAlign val="baseline"/>
      </font>
      <fill>
        <patternFill patternType="solid">
          <fgColor indexed="64"/>
          <bgColor theme="4" tint="-0.249977111117893"/>
        </patternFill>
      </fill>
      <alignment horizontal="center" vertical="center"/>
      <border outline="0">
        <left/>
        <right/>
        <top/>
        <bottom/>
      </border>
    </dxf>
    <dxf>
      <font>
        <name val="Tahoma"/>
        <family val="2"/>
        <strike val="0"/>
        <outline val="0"/>
        <shadow val="0"/>
        <condense val="0"/>
        <color rgb="FF000000"/>
        <extend val="0"/>
        <sz val="10"/>
        <vertAlign val="baseline"/>
      </font>
      <fill>
        <patternFill patternType="solid">
          <fgColor indexed="64"/>
          <bgColor theme="0"/>
        </patternFill>
      </fill>
      <alignment horizontal="left" vertical="top" wrapText="1"/>
      <border outline="0">
        <left style="thin">
          <color indexed="64"/>
        </left>
        <right style="thin">
          <color indexed="64"/>
        </right>
        <top style="thin">
          <color indexed="64"/>
        </top>
        <bottom style="thin">
          <color indexed="64"/>
        </bottom>
      </border>
    </dxf>
    <dxf>
      <font>
        <name val="Tahoma"/>
        <family val="2"/>
        <strike val="0"/>
        <outline val="0"/>
        <shadow val="0"/>
        <condense val="0"/>
        <color rgb="FF000000"/>
        <extend val="0"/>
        <sz val="10"/>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Tahoma"/>
        <family val="2"/>
        <strike val="0"/>
        <outline val="0"/>
        <shadow val="0"/>
        <condense val="0"/>
        <color rgb="FF000000"/>
        <extend val="0"/>
        <sz val="10"/>
        <vertAlign val="baseline"/>
      </font>
      <fill>
        <patternFill patternType="solid">
          <fgColor indexed="64"/>
          <bgColor theme="0"/>
        </patternFill>
      </fill>
      <alignment horizontal="left" vertical="top" wrapText="1"/>
      <border outline="0">
        <left style="thin">
          <color indexed="64"/>
        </left>
        <right style="thin">
          <color indexed="64"/>
        </right>
        <top style="thin">
          <color indexed="64"/>
        </top>
        <bottom style="thin">
          <color indexed="64"/>
        </bottom>
      </border>
    </dxf>
    <dxf>
      <font>
        <name val="Tahoma"/>
        <family val="2"/>
        <strike val="0"/>
        <outline val="0"/>
        <shadow val="0"/>
        <condense val="0"/>
        <color rgb="FF000000"/>
        <extend val="0"/>
        <sz val="10"/>
        <vertAlign val="baseline"/>
      </font>
      <fill>
        <patternFill patternType="solid">
          <fgColor indexed="64"/>
          <bgColor theme="0"/>
        </patternFill>
      </fill>
      <alignment horizontal="left" vertical="top" wrapText="1"/>
      <border outline="0">
        <left style="thin">
          <color indexed="64"/>
        </left>
        <right style="thin">
          <color indexed="64"/>
        </right>
        <top style="thin">
          <color indexed="64"/>
        </top>
        <bottom style="thin">
          <color indexed="64"/>
        </bottom>
      </border>
    </dxf>
    <dxf>
      <font>
        <name val="Tahoma"/>
        <family val="2"/>
        <strike val="0"/>
        <outline val="0"/>
        <shadow val="0"/>
        <condense val="0"/>
        <color rgb="FF000000"/>
        <extend val="0"/>
        <sz val="10"/>
        <vertAlign val="baseline"/>
      </font>
      <fill>
        <patternFill patternType="solid">
          <fgColor indexed="64"/>
          <bgColor theme="0"/>
        </patternFill>
      </fill>
      <alignment horizontal="left" vertical="top" wrapText="1"/>
      <border outline="0">
        <left style="thin">
          <color indexed="64"/>
        </left>
        <right style="thin">
          <color indexed="64"/>
        </right>
        <top style="thin">
          <color indexed="64"/>
        </top>
        <bottom style="thin">
          <color indexed="64"/>
        </bottom>
      </border>
    </dxf>
    <dxf>
      <font>
        <name val="Tahoma"/>
        <family val="2"/>
        <strike val="0"/>
        <outline val="0"/>
        <shadow val="0"/>
        <condense val="0"/>
        <color rgb="FF000000"/>
        <extend val="0"/>
        <sz val="10"/>
        <vertAlign val="baseline"/>
      </font>
      <fill>
        <patternFill patternType="solid">
          <fgColor indexed="64"/>
          <bgColor theme="0"/>
        </patternFill>
      </fill>
      <alignment horizontal="left" vertical="top" wrapText="1"/>
      <border outline="0">
        <left style="thin">
          <color indexed="64"/>
        </left>
        <right style="thin">
          <color indexed="64"/>
        </right>
        <top style="thin">
          <color indexed="64"/>
        </top>
        <bottom style="thin">
          <color indexed="64"/>
        </bottom>
      </border>
    </dxf>
    <dxf>
      <font>
        <name val="Tahoma"/>
        <family val="2"/>
        <strike val="0"/>
        <outline val="0"/>
        <shadow val="0"/>
        <condense val="0"/>
        <color rgb="FF000000"/>
        <extend val="0"/>
        <sz val="10"/>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Tahoma"/>
        <family val="2"/>
        <strike val="0"/>
        <outline val="0"/>
        <shadow val="0"/>
        <condense val="0"/>
        <color rgb="FF000000"/>
        <extend val="0"/>
        <sz val="10"/>
        <vertAlign val="baseline"/>
      </font>
      <fill>
        <patternFill patternType="solid">
          <fgColor indexed="64"/>
          <bgColor theme="0"/>
        </patternFill>
      </fill>
      <alignment horizontal="center" vertical="center" wrapText="1"/>
    </dxf>
    <dxf>
      <border>
        <bottom style="thin">
          <color indexed="64"/>
        </bottom>
      </border>
    </dxf>
    <dxf>
      <font>
        <name val="Tahoma"/>
        <family val="2"/>
        <b val="1"/>
        <strike val="0"/>
        <outline val="0"/>
        <shadow val="0"/>
        <condense val="0"/>
        <color theme="0"/>
        <extend val="0"/>
        <sz val="12"/>
        <vertAlign val="baseline"/>
      </font>
      <fill>
        <patternFill patternType="solid">
          <fgColor indexed="64"/>
          <bgColor theme="4" tint="-0.249977111117893"/>
        </patternFill>
      </fill>
      <alignment horizontal="center" vertical="center" wrapText="1"/>
      <border outline="0">
        <left style="thin">
          <color indexed="64"/>
        </left>
        <right style="thin">
          <color indexed="64"/>
        </right>
        <top/>
        <bottom/>
      </border>
    </dxf>
    <dxf>
      <font>
        <name val="Calibri"/>
        <b val="1"/>
        <strike val="0"/>
        <outline val="0"/>
        <shadow val="0"/>
        <condense val="0"/>
        <color auto="1"/>
        <extend val="0"/>
        <sz val="11"/>
        <vertAlign val="baseline"/>
      </font>
      <alignment horizontal="center" vertical="center"/>
      <border>
        <left style="thin">
          <color indexed="64"/>
        </left>
        <right style="thin">
          <color indexed="64"/>
        </right>
        <top style="thin">
          <color indexed="64"/>
        </top>
        <bottom style="thin">
          <color indexed="64"/>
        </bottom>
        <vertical/>
        <horizontal/>
      </border>
    </dxf>
    <dxf>
      <font>
        <name val="Calibri"/>
        <family val="2"/>
        <b val="1"/>
        <strike val="0"/>
        <outline val="0"/>
        <shadow val="0"/>
        <condense val="0"/>
        <color auto="1"/>
        <extend val="0"/>
        <sz val="11"/>
        <vertAlign val="baseline"/>
      </font>
      <alignment horizontal="center" vertical="center"/>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center" vertical="center"/>
      <border>
        <left style="thin">
          <color indexed="64"/>
        </left>
        <right style="thin">
          <color indexed="64"/>
        </right>
        <top style="thin">
          <color indexed="64"/>
        </top>
        <bottom style="thin">
          <color indexed="64"/>
        </bottom>
        <vertical/>
        <horizontal/>
      </border>
    </dxf>
    <dxf>
      <font>
        <name val="Calibri"/>
        <family val="2"/>
        <b val="1"/>
        <strike val="0"/>
        <outline val="0"/>
        <shadow val="0"/>
        <condense val="0"/>
        <color auto="1"/>
        <extend val="0"/>
        <sz val="11"/>
        <vertAlign val="baseline"/>
      </font>
      <alignment horizontal="center" vertical="center"/>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rgb="FFFFFFFF"/>
        <extend val="0"/>
        <sz val="11"/>
        <vertAlign val="baseline"/>
      </font>
      <fill>
        <patternFill patternType="solid">
          <fgColor indexed="64"/>
          <bgColor rgb="FF8B0000"/>
        </patternFill>
      </fill>
      <alignment horizontal="center" vertical="center" wrapText="1"/>
      <border>
        <left style="thin">
          <color indexed="64"/>
        </left>
        <right style="thin">
          <color indexed="64"/>
        </right>
        <top style="thin">
          <color indexed="64"/>
        </top>
        <bottom style="thin">
          <color indexed="64"/>
        </bottom>
        <vertical/>
        <horizontal/>
      </border>
    </dxf>
    <dxf>
      <font>
        <name val="Calibri"/>
        <b val="1"/>
        <strike val="0"/>
        <outline val="0"/>
        <shadow val="0"/>
        <condense val="0"/>
        <color auto="1"/>
        <extend val="0"/>
        <sz val="11"/>
        <vertAlign val="baseline"/>
      </font>
      <alignment horizontal="left" vertical="center" wrapText="1"/>
      <border outline="0">
        <left style="thin">
          <color indexed="64"/>
        </left>
        <right style="thin">
          <color indexed="64"/>
        </right>
        <top style="thin">
          <color indexed="64"/>
        </top>
        <bottom style="thin">
          <color indexed="64"/>
        </bottom>
      </border>
    </dxf>
    <dxf>
      <font>
        <name val="Calibri"/>
        <b val="1"/>
        <strike val="0"/>
        <outline val="0"/>
        <shadow val="0"/>
        <condense val="0"/>
        <color auto="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right style="thin">
          <color indexed="64"/>
        </right>
        <top style="thin">
          <color indexed="64"/>
        </top>
        <bottom style="thin">
          <color indexed="64"/>
        </bottom>
        <vertical style="thin">
          <color indexed="64"/>
        </vertical>
        <horizontal style="thin">
          <color indexed="64"/>
        </horizontal>
      </border>
    </dxf>
    <dxf>
      <border outline="0">
        <bottom style="thin">
          <color indexed="64"/>
        </bottom>
      </border>
    </dxf>
    <dxf>
      <alignment horizontal="center" vertical="center" wrapText="1"/>
    </dxf>
    <dxf>
      <border outline="0">
        <bottom style="thin">
          <color indexed="64"/>
        </bottom>
      </border>
    </dxf>
    <dxf>
      <font>
        <name val="Calibri"/>
        <family val="2"/>
        <b val="1"/>
        <strike val="0"/>
        <outline val="0"/>
        <shadow val="0"/>
        <condense val="0"/>
        <color theme="1"/>
        <extend val="0"/>
        <sz val="11"/>
        <vertAlign val="baseline"/>
        <scheme val="minor"/>
      </font>
      <alignment horizontal="center" vertical="center" wrapText="1"/>
      <border>
        <left style="thin">
          <color indexed="64"/>
        </left>
        <right style="thin">
          <color indexed="64"/>
        </right>
        <top/>
        <bottom/>
        <vertical style="thin">
          <color indexed="64"/>
        </vertical>
        <horizontal style="thin">
          <color indexed="64"/>
        </horizontal>
      </border>
    </dxf>
    <dxf>
      <alignment horizontal="center" vertical="center" wrapText="1"/>
    </dxf>
    <dxf>
      <alignment horizontal="center" vertical="center" wrapText="1"/>
    </dxf>
    <dxf>
      <alignment horizontal="center" vertical="center" wrapText="1"/>
    </dxf>
    <dxf>
      <font>
        <name val="Calibri"/>
        <family val="2"/>
        <strike val="0"/>
        <outline val="0"/>
        <shadow val="0"/>
        <condense val="0"/>
        <color auto="1"/>
        <extend val="0"/>
        <sz val="11"/>
        <vertAlign val="baseline"/>
        <scheme val="minor"/>
      </font>
      <alignment horizontal="center" vertical="center" wrapText="1"/>
    </dxf>
    <dxf>
      <font>
        <name val="Calibri"/>
        <family val="2"/>
        <strike val="0"/>
        <outline val="0"/>
        <shadow val="0"/>
        <condense val="0"/>
        <color auto="1"/>
        <extend val="0"/>
        <sz val="11"/>
        <vertAlign val="baseline"/>
        <scheme val="minor"/>
      </font>
      <alignment horizontal="center"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externalLink" Target="/xl/externalLinks/externalLink1.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baseline="0">
                <a:solidFill>
                  <a:schemeClr val="dk1">
                    <a:lumMod val="75000"/>
                    <a:lumOff val="25000"/>
                  </a:schemeClr>
                </a:solidFill>
                <a:latin typeface="+mn-lt"/>
                <a:ea typeface="+mn-ea"/>
                <a:cs typeface="+mn-cs"/>
              </a:defRPr>
            </a:pPr>
            <a:r>
              <a:rPr lang="en-US"/>
              <a:t>Vulnerabilities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baseline="0">
              <a:solidFill>
                <a:schemeClr val="dk1">
                  <a:lumMod val="75000"/>
                  <a:lumOff val="25000"/>
                </a:schemeClr>
              </a:solidFill>
              <a:latin typeface="+mn-lt"/>
              <a:ea typeface="+mn-ea"/>
              <a:cs typeface="+mn-cs"/>
            </a:defRPr>
          </a:pPr>
          <a:r>
            <a:t/>
          </a:r>
          <a:endParaRPr lang="en-US"/>
        </a:p>
      </txPr>
    </title>
    <plotArea>
      <layout/>
      <pieChart>
        <varyColors val="1"/>
        <ser>
          <idx val="0"/>
          <order val="0"/>
          <spPr>
            <a:ln xmlns:a="http://schemas.openxmlformats.org/drawingml/2006/main">
              <a:prstDash val="solid"/>
            </a:ln>
          </spPr>
          <explosion val="1"/>
          <dPt>
            <idx val="0"/>
            <bubble3D val="0"/>
            <spPr>
              <a:solidFill xmlns:a="http://schemas.openxmlformats.org/drawingml/2006/main">
                <a:srgbClr val="C00000"/>
              </a:solidFill>
              <a:ln xmlns:a="http://schemas.openxmlformats.org/drawingml/2006/main">
                <a:noFill/>
                <a:prstDash val="solid"/>
              </a:ln>
            </spPr>
          </dPt>
          <dPt>
            <idx val="1"/>
            <bubble3D val="0"/>
            <spPr>
              <a:solidFill xmlns:a="http://schemas.openxmlformats.org/drawingml/2006/main">
                <a:srgbClr val="FF0000"/>
              </a:solidFill>
              <a:ln xmlns:a="http://schemas.openxmlformats.org/drawingml/2006/main">
                <a:noFill/>
                <a:prstDash val="solid"/>
              </a:ln>
            </spPr>
          </dPt>
          <dPt>
            <idx val="2"/>
            <bubble3D val="0"/>
            <spPr>
              <a:solidFill xmlns:a="http://schemas.openxmlformats.org/drawingml/2006/main">
                <a:srgbClr val="FFC000"/>
              </a:solidFill>
              <a:ln xmlns:a="http://schemas.openxmlformats.org/drawingml/2006/main">
                <a:noFill/>
                <a:prstDash val="solid"/>
              </a:ln>
            </spPr>
          </dPt>
          <dPt>
            <idx val="3"/>
            <bubble3D val="0"/>
            <spPr>
              <a:solidFill xmlns:a="http://schemas.openxmlformats.org/drawingml/2006/main">
                <a:srgbClr val="FFFF00"/>
              </a:solidFill>
              <a:ln xmlns:a="http://schemas.openxmlformats.org/drawingml/2006/main">
                <a:noFill/>
                <a:prstDash val="solid"/>
              </a:ln>
            </spPr>
          </dPt>
          <dLbls>
            <dLbl>
              <idx val="0"/>
              <dLblPos val="bestFit"/>
              <showLegendKey val="0"/>
              <showVal val="0"/>
              <showCatName val="1"/>
              <showSerName val="0"/>
              <showPercent val="1"/>
              <showBubbleSize val="0"/>
            </dLbl>
            <dLbl>
              <idx val="1"/>
              <dLblPos val="bestFit"/>
              <showLegendKey val="0"/>
              <showVal val="0"/>
              <showCatName val="1"/>
              <showSerName val="0"/>
              <showPercent val="1"/>
              <showBubbleSize val="0"/>
            </dLbl>
            <dLbl>
              <idx val="2"/>
              <dLblPos val="bestFit"/>
              <showLegendKey val="0"/>
              <showVal val="0"/>
              <showCatName val="1"/>
              <showSerName val="0"/>
              <showPercent val="1"/>
              <showBubbleSize val="0"/>
            </dLbl>
            <dLbl>
              <idx val="3"/>
              <dLblPos val="bestFit"/>
              <showLegendKey val="0"/>
              <showVal val="0"/>
              <showCatName val="1"/>
              <showSerName val="0"/>
              <showPercent val="1"/>
              <showBubbleSize val="0"/>
            </dLbl>
            <spPr>
              <a:pattFill xmlns:a="http://schemas.openxmlformats.org/drawingml/2006/main" prst="pct75">
                <a:fgClr>
                  <a:schemeClr val="dk1">
                    <a:lumMod val="75000"/>
                    <a:lumOff val="25000"/>
                  </a:schemeClr>
                </a:fgClr>
                <a:bgClr>
                  <a:schemeClr val="dk1">
                    <a:lumMod val="65000"/>
                    <a:lumOff val="35000"/>
                  </a:schemeClr>
                </a:bgClr>
              </a:pattFill>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1" i="0" strike="noStrike" kern="1200" baseline="0">
                    <a:solidFill>
                      <a:schemeClr val="lt1"/>
                    </a:solidFill>
                    <a:latin typeface="+mn-lt"/>
                    <a:ea typeface="+mn-ea"/>
                    <a:cs typeface="+mn-cs"/>
                  </a:defRPr>
                </a:pPr>
                <a:r>
                  <a:t/>
                </a:r>
                <a:endParaRPr lang="en-US"/>
              </a:p>
            </txPr>
            <dLblPos val="ctr"/>
            <showLegendKey val="0"/>
            <showVal val="0"/>
            <showCatName val="1"/>
            <showSerName val="0"/>
            <showPercent val="1"/>
            <showBubbleSize val="0"/>
            <showLeaderLines val="1"/>
          </dLbls>
          <cat>
            <strRef>
              <f>Summary!$A$2:$A$5</f>
              <strCache>
                <ptCount val="4"/>
                <pt idx="0">
                  <v>Critical</v>
                </pt>
                <pt idx="1">
                  <v>High</v>
                </pt>
                <pt idx="2">
                  <v>Medium</v>
                </pt>
                <pt idx="3">
                  <v>Low</v>
                </pt>
              </strCache>
            </strRef>
          </cat>
          <val>
            <numRef>
              <f>Summary!$B$2:$B$5</f>
              <numCache>
                <formatCode>General</formatCode>
                <ptCount val="4"/>
                <pt idx="0">
                  <v>1</v>
                </pt>
                <pt idx="1">
                  <v>3</v>
                </pt>
                <pt idx="2">
                  <v>4</v>
                </pt>
                <pt idx="3">
                  <v>1</v>
                </pt>
              </numCache>
            </numRef>
          </val>
        </ser>
        <dLbls>
          <dLblPos val="ctr"/>
          <showLegendKey val="0"/>
          <showVal val="0"/>
          <showCatName val="0"/>
          <showSerName val="0"/>
          <showPercent val="1"/>
          <showBubbleSize val="0"/>
          <showLeaderLines val="1"/>
        </dLbls>
        <firstSliceAng val="0"/>
      </pieChart>
    </plotArea>
    <legend>
      <legendPos val="r"/>
      <overlay val="0"/>
      <spPr>
        <a:solidFill xmlns:a="http://schemas.openxmlformats.org/drawingml/2006/main">
          <a:schemeClr val="lt1">
            <a:alpha val="39000"/>
            <a:lumMod val="95000"/>
          </a:schemeClr>
        </a:solidFill>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n-US"/>
        </a:p>
      </txPr>
    </legend>
    <plotVisOnly val="1"/>
    <dispBlanksAs val="gap"/>
  </chart>
  <spPr>
    <a:gradFill xmlns:a="http://schemas.openxmlformats.org/drawingml/2006/main" rotWithShape="1">
      <a:gsLst>
        <a:gs pos="0">
          <a:schemeClr val="lt1"/>
        </a:gs>
        <a:gs pos="39000">
          <a:schemeClr val="lt1"/>
        </a:gs>
        <a:gs pos="100000">
          <a:schemeClr val="lt1">
            <a:lumMod val="75000"/>
          </a:schemeClr>
        </a:gs>
      </a:gsLst>
      <a:path path="circle">
        <a:fillToRect l="50000" t="-80000" r="50000" b="180000"/>
      </a:path>
      <a:tileRect/>
    </a:gradFill>
    <a:ln xmlns:a="http://schemas.openxmlformats.org/drawingml/2006/main" w="9525" cap="flat" cmpd="sng" algn="ctr">
      <a:solidFill>
        <a:schemeClr val="dk1">
          <a:lumMod val="25000"/>
          <a:lumOff val="75000"/>
        </a:schemeClr>
      </a:solidFill>
      <a:prstDash val="solid"/>
      <a:round/>
    </a:ln>
  </spPr>
</chartSpace>
</file>

<file path=xl/charts/chart2.xml><?xml version="1.0" encoding="utf-8"?>
<chartSpace xmlns="http://schemas.openxmlformats.org/drawingml/2006/chart">
  <chart>
    <title>
      <tx>
        <rich>
          <a:bodyPr xmlns:a="http://schemas.openxmlformats.org/drawingml/2006/main"/>
          <a:p xmlns:a="http://schemas.openxmlformats.org/drawingml/2006/main">
            <a:r>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baseline="0">
              <a:solidFill>
                <a:schemeClr val="dk1">
                  <a:lumMod val="75000"/>
                  <a:lumOff val="25000"/>
                </a:schemeClr>
              </a:solidFill>
              <a:latin typeface="+mn-lt"/>
              <a:ea typeface="+mn-ea"/>
              <a:cs typeface="+mn-cs"/>
            </a:defRPr>
          </a:pPr>
          <a:r>
            <a:t/>
          </a:r>
          <a:endParaRPr lang="en-US"/>
        </a:p>
      </txPr>
    </title>
    <plotArea>
      <layout/>
      <pieChart>
        <varyColors val="1"/>
        <ser>
          <idx val="0"/>
          <order val="0"/>
          <tx>
            <strRef>
              <f>Summary!$A$11</f>
              <strCache>
                <ptCount val="1"/>
                <pt idx="0">
                  <v>Compliance</v>
                </pt>
              </strCache>
            </strRef>
          </tx>
          <spPr>
            <a:ln xmlns:a="http://schemas.openxmlformats.org/drawingml/2006/main">
              <a:prstDash val="solid"/>
            </a:ln>
          </spPr>
          <dPt>
            <idx val="0"/>
            <bubble3D val="0"/>
            <spPr>
              <a:solidFill xmlns:a="http://schemas.openxmlformats.org/drawingml/2006/main">
                <a:srgbClr val="FF0000"/>
              </a:solidFill>
              <a:ln xmlns:a="http://schemas.openxmlformats.org/drawingml/2006/main">
                <a:noFill/>
                <a:prstDash val="solid"/>
              </a:ln>
            </spPr>
          </dPt>
          <dPt>
            <idx val="1"/>
            <bubble3D val="0"/>
            <spPr>
              <a:solidFill xmlns:a="http://schemas.openxmlformats.org/drawingml/2006/main">
                <a:srgbClr val="00B050"/>
              </a:solidFill>
              <a:ln xmlns:a="http://schemas.openxmlformats.org/drawingml/2006/main">
                <a:noFill/>
                <a:prstDash val="solid"/>
              </a:ln>
            </spPr>
          </dPt>
          <dPt>
            <idx val="2"/>
            <bubble3D val="0"/>
            <spPr>
              <a:solidFill xmlns:a="http://schemas.openxmlformats.org/drawingml/2006/main">
                <a:schemeClr val="accent3"/>
              </a:solidFill>
              <a:ln xmlns:a="http://schemas.openxmlformats.org/drawingml/2006/main">
                <a:noFill/>
                <a:prstDash val="solid"/>
              </a:ln>
            </spPr>
          </dPt>
          <dPt>
            <idx val="3"/>
            <bubble3D val="0"/>
            <spPr>
              <a:solidFill xmlns:a="http://schemas.openxmlformats.org/drawingml/2006/main">
                <a:schemeClr val="accent2">
                  <a:lumMod val="20000"/>
                  <a:lumOff val="80000"/>
                </a:schemeClr>
              </a:solidFill>
              <a:ln xmlns:a="http://schemas.openxmlformats.org/drawingml/2006/main">
                <a:noFill/>
                <a:prstDash val="solid"/>
              </a:ln>
            </spPr>
          </dPt>
          <dPt>
            <idx val="4"/>
            <bubble3D val="0"/>
            <spPr>
              <a:solidFill xmlns:a="http://schemas.openxmlformats.org/drawingml/2006/main">
                <a:schemeClr val="accent4">
                  <a:lumMod val="20000"/>
                  <a:lumOff val="80000"/>
                </a:schemeClr>
              </a:solidFill>
              <a:ln xmlns:a="http://schemas.openxmlformats.org/drawingml/2006/main">
                <a:noFill/>
                <a:prstDash val="solid"/>
              </a:ln>
            </spPr>
          </dPt>
          <dPt>
            <idx val="5"/>
            <bubble3D val="0"/>
            <spPr>
              <a:solidFill xmlns:a="http://schemas.openxmlformats.org/drawingml/2006/main">
                <a:schemeClr val="accent6"/>
              </a:solidFill>
              <a:ln xmlns:a="http://schemas.openxmlformats.org/drawingml/2006/main">
                <a:noFill/>
                <a:prstDash val="solid"/>
              </a:ln>
            </spPr>
          </dPt>
          <dLbls>
            <dLbl>
              <idx val="0"/>
              <dLblPos val="bestFit"/>
              <showLegendKey val="0"/>
              <showVal val="1"/>
              <showCatName val="1"/>
              <showSerName val="0"/>
              <showPercent val="1"/>
              <showBubbleSize val="0"/>
            </dLbl>
            <dLbl>
              <idx val="1"/>
              <dLblPos val="bestFit"/>
              <showLegendKey val="0"/>
              <showVal val="1"/>
              <showCatName val="1"/>
              <showSerName val="0"/>
              <showPercent val="1"/>
              <showBubbleSize val="0"/>
            </dLbl>
            <dLbl>
              <idx val="2"/>
              <dLblPos val="bestFit"/>
              <showLegendKey val="0"/>
              <showVal val="1"/>
              <showCatName val="1"/>
              <showSerName val="0"/>
              <showPercent val="1"/>
              <showBubbleSize val="0"/>
            </dLbl>
            <dLbl>
              <idx val="3"/>
              <dLblPos val="bestFit"/>
              <showLegendKey val="0"/>
              <showVal val="1"/>
              <showCatName val="1"/>
              <showSerName val="0"/>
              <showPercent val="1"/>
              <showBubbleSize val="0"/>
            </dLbl>
            <dLbl>
              <idx val="4"/>
              <dLblPos val="bestFit"/>
              <showLegendKey val="0"/>
              <showVal val="1"/>
              <showCatName val="1"/>
              <showSerName val="0"/>
              <showPercent val="1"/>
              <showBubbleSize val="0"/>
            </dLbl>
            <dLbl>
              <idx val="5"/>
              <dLblPos val="bestFit"/>
              <showLegendKey val="0"/>
              <showVal val="1"/>
              <showCatName val="1"/>
              <showSerName val="0"/>
              <showPercent val="1"/>
              <showBubbleSize val="0"/>
            </dLbl>
            <spPr>
              <a:pattFill xmlns:a="http://schemas.openxmlformats.org/drawingml/2006/main" prst="pct75">
                <a:fgClr>
                  <a:schemeClr val="dk1">
                    <a:lumMod val="75000"/>
                    <a:lumOff val="25000"/>
                  </a:schemeClr>
                </a:fgClr>
                <a:bgClr>
                  <a:schemeClr val="dk1">
                    <a:lumMod val="65000"/>
                    <a:lumOff val="35000"/>
                  </a:schemeClr>
                </a:bgClr>
              </a:pattFill>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1" i="0" strike="noStrike" kern="1200" baseline="0">
                    <a:solidFill>
                      <a:schemeClr val="lt1"/>
                    </a:solidFill>
                    <a:latin typeface="+mn-lt"/>
                    <a:ea typeface="+mn-ea"/>
                    <a:cs typeface="+mn-cs"/>
                  </a:defRPr>
                </a:pPr>
                <a:r>
                  <a:t/>
                </a:r>
                <a:endParaRPr lang="en-US"/>
              </a:p>
            </txPr>
            <dLblPos val="ctr"/>
            <showLegendKey val="0"/>
            <showVal val="1"/>
            <showCatName val="1"/>
            <showSerName val="0"/>
            <showPercent val="1"/>
            <showBubbleSize val="0"/>
            <showLeaderLines val="1"/>
          </dLbls>
          <cat>
            <strRef>
              <f>Summary!$A$12:$A$17</f>
              <strCache>
                <ptCount val="6"/>
                <pt idx="0">
                  <v>Failed</v>
                </pt>
                <pt idx="1">
                  <v>Passed</v>
                </pt>
                <pt idx="2">
                  <v>N/A</v>
                </pt>
                <pt idx="3">
                  <v>Missing Evidence</v>
                </pt>
                <pt idx="4">
                  <v>Manual Review</v>
                </pt>
                <pt idx="5">
                  <v>Inprogress</v>
                </pt>
              </strCache>
            </strRef>
          </cat>
          <val>
            <numRef>
              <f>Summary!$B$12:$B$17</f>
              <numCache>
                <formatCode>General</formatCode>
                <ptCount val="6"/>
                <pt idx="0">
                  <v>1</v>
                </pt>
                <pt idx="1">
                  <v>1</v>
                </pt>
                <pt idx="2">
                  <v>1</v>
                </pt>
                <pt idx="3">
                  <v>1</v>
                </pt>
                <pt idx="4">
                  <v>1</v>
                </pt>
                <pt idx="5">
                  <v>1</v>
                </pt>
              </numCache>
            </numRef>
          </val>
        </ser>
        <dLbls>
          <dLblPos val="ctr"/>
          <showLegendKey val="0"/>
          <showVal val="0"/>
          <showCatName val="0"/>
          <showSerName val="0"/>
          <showPercent val="1"/>
          <showBubbleSize val="0"/>
          <showLeaderLines val="1"/>
        </dLbls>
        <firstSliceAng val="0"/>
      </pieChart>
    </plotArea>
    <legend>
      <legendPos val="tr"/>
      <overlay val="0"/>
      <spPr>
        <a:solidFill xmlns:a="http://schemas.openxmlformats.org/drawingml/2006/main">
          <a:schemeClr val="lt1">
            <a:alpha val="39000"/>
            <a:lumMod val="95000"/>
          </a:schemeClr>
        </a:solidFill>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n-US"/>
        </a:p>
      </txPr>
    </legend>
    <plotVisOnly val="1"/>
    <dispBlanksAs val="gap"/>
  </chart>
  <spPr>
    <a:gradFill xmlns:a="http://schemas.openxmlformats.org/drawingml/2006/main" rotWithShape="1">
      <a:gsLst>
        <a:gs pos="0">
          <a:schemeClr val="lt1"/>
        </a:gs>
        <a:gs pos="39000">
          <a:schemeClr val="lt1"/>
        </a:gs>
        <a:gs pos="100000">
          <a:schemeClr val="lt1">
            <a:lumMod val="75000"/>
          </a:schemeClr>
        </a:gs>
      </a:gsLst>
      <a:path path="circle">
        <a:fillToRect l="50000" t="-80000" r="50000" b="180000"/>
      </a:path>
      <a:tileRect/>
    </a:gradFill>
    <a:ln xmlns:a="http://schemas.openxmlformats.org/drawingml/2006/main" w="9525" cap="flat" cmpd="sng" algn="ctr">
      <a:solidFill>
        <a:schemeClr val="dk1">
          <a:lumMod val="25000"/>
          <a:lumOff val="7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4</col>
      <colOff>236842</colOff>
      <row>10</row>
      <rowOff>152098</rowOff>
    </from>
    <to>
      <col>8</col>
      <colOff>412376</colOff>
      <row>15</row>
      <rowOff>138513</rowOff>
    </to>
    <pic>
      <nvPicPr>
        <cNvPr id="3" name="Picture 2"/>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a:xfrm xmlns:a="http://schemas.openxmlformats.org/drawingml/2006/main">
          <a:off x="2675242" y="2057098"/>
          <a:ext cx="2613934" cy="107226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from>
      <col>4</col>
      <colOff>12700</colOff>
      <row>1</row>
      <rowOff>19050</rowOff>
    </from>
    <to>
      <col>11</col>
      <colOff>354330</colOff>
      <row>18</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12</col>
      <colOff>19050</colOff>
      <row>1</row>
      <rowOff>19048</rowOff>
    </from>
    <to>
      <col>20</col>
      <colOff>104775</colOff>
      <row>18</row>
      <rowOff>38100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D:\Padrasys\Padrasys-New\MCI\CT\Router%20Sina\SINOS-SR4100-54H_Security_Assessment_FINAL_Report.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Cover"/>
      <sheetName val="Document Information"/>
      <sheetName val="Summary"/>
      <sheetName val="Vulnerabilities"/>
      <sheetName val="Compliance"/>
      <sheetName val="Package"/>
      <sheetName val="Users"/>
      <sheetName val="Groups"/>
      <sheetName val="Routes"/>
      <sheetName val="Cron Jobs"/>
      <sheetName val="Processes Running by root"/>
      <sheetName val="Environment"/>
      <sheetName val="ssh known hosts"/>
      <sheetName val="SINOS-SR4100-54H_Security_Asses"/>
    </sheetNames>
    <sheetDataSet>
      <sheetData sheetId="0"/>
      <sheetData sheetId="1"/>
      <sheetData sheetId="2">
        <row r="2">
          <cell r="A2" t="str">
            <v>Critical</v>
          </cell>
        </row>
      </sheetData>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id="1" name="Table14" displayName="Table14" ref="A1:H2" headerRowCount="1" totalsRowShown="0" headerRowDxfId="225" dataDxfId="224">
  <autoFilter ref="A1:H2"/>
  <tableColumns count="8">
    <tableColumn id="1" name="OS Description"/>
    <tableColumn id="2" name="Hostname"/>
    <tableColumn id="3" name="IP Address (OAM)"/>
    <tableColumn id="4" name="MAC Address"/>
    <tableColumn id="5" name="OS (uname -a)" dataDxfId="223"/>
    <tableColumn id="6" name="SOC Agent" dataDxfId="222"/>
    <tableColumn id="7" name="TCP/UDP open Ports Inbound" dataDxfId="221"/>
    <tableColumn id="8" name="TCP/UDP open Ports Outband"/>
  </tableColumns>
  <tableStyleInfo name="TableStyleMedium9" showFirstColumn="0" showLastColumn="0" showRowStripes="1" showColumnStripes="0"/>
</table>
</file>

<file path=xl/tables/table2.xml><?xml version="1.0" encoding="utf-8"?>
<table xmlns="http://schemas.openxmlformats.org/spreadsheetml/2006/main" id="2" name="Table5" displayName="Table5" ref="A2:N9" headerRowCount="1" totalsRowShown="0" headerRowDxfId="220" dataDxfId="218" headerRowBorderDxfId="219" tableBorderDxfId="217">
  <autoFilter ref="A2:N9"/>
  <tableColumns count="14">
    <tableColumn id="1" name="VRF Name" dataDxfId="216"/>
    <tableColumn id="2" name="Interface Name" dataDxfId="215"/>
    <tableColumn id="3" name="Source Name" dataDxfId="214"/>
    <tableColumn id="4" name="Source IP Address" dataDxfId="213"/>
    <tableColumn id="5" name="Source Port" dataDxfId="212"/>
    <tableColumn id="6" name="Protocol" dataDxfId="211"/>
    <tableColumn id="13" name="Destination Name" dataDxfId="210"/>
    <tableColumn id="7" name="Destination IP Address" dataDxfId="209"/>
    <tableColumn id="8" name="Destination Port" dataDxfId="208"/>
    <tableColumn id="9" name="State" dataDxfId="207"/>
    <tableColumn id="14" name="Purpose / Notes" dataDxfId="206"/>
    <tableColumn id="10" name="Security Comment" dataDxfId="205"/>
    <tableColumn id="11" name="Owner Comments" dataDxfId="204"/>
    <tableColumn id="16" name="Security Reviews" dataDxfId="203"/>
  </tableColumns>
  <tableStyleInfo name="TableStyleMedium9" showFirstColumn="0" showLastColumn="0" showRowStripes="1" showColumnStripes="0"/>
</table>
</file>

<file path=xl/tables/table3.xml><?xml version="1.0" encoding="utf-8"?>
<table xmlns="http://schemas.openxmlformats.org/spreadsheetml/2006/main" id="3" name="ActiveConnectionsTable" displayName="ActiveConnectionsTable" ref="A14:N34" headerRowCount="1" totalsRowShown="0" headerRowDxfId="202" dataDxfId="201">
  <autoFilter ref="A14:N34"/>
  <tableColumns count="14">
    <tableColumn id="1" name="Protocol" dataDxfId="200"/>
    <tableColumn id="2" name="Recv-Q" dataDxfId="199"/>
    <tableColumn id="3" name="Send-Q" dataDxfId="198"/>
    <tableColumn id="4" name="Source IP Address" dataDxfId="197"/>
    <tableColumn id="5" name="Source Port Number" dataDxfId="196"/>
    <tableColumn id="6" name="Destination IP Address" dataDxfId="195"/>
    <tableColumn id="7" name="Destination Port Number" dataDxfId="194"/>
    <tableColumn id="8" name="State" dataDxfId="193"/>
    <tableColumn id="9" name="User" dataDxfId="192"/>
    <tableColumn id="10" name="Inode" dataDxfId="191"/>
    <tableColumn id="11" name="Identified / Likely Service" dataDxfId="190"/>
    <tableColumn id="12" name="Security Comment" dataDxfId="189"/>
    <tableColumn id="13" name="Owner Comments" dataDxfId="188"/>
    <tableColumn id="14" name="Security Reviews" dataDxfId="187"/>
  </tableColumns>
  <tableStyleInfo name="TableStyleMedium12" showFirstColumn="0" showLastColumn="0" showRowStripes="1" showColumnStripes="0"/>
</table>
</file>

<file path=xl/tables/table4.xml><?xml version="1.0" encoding="utf-8"?>
<table xmlns="http://schemas.openxmlformats.org/spreadsheetml/2006/main" id="4" name="FirewallRulesP1" displayName="FirewallRulesP1" ref="A37:F43" headerRowCount="1" totalsRowShown="0" headerRowDxfId="186" dataDxfId="185">
  <autoFilter ref="A37:F43"/>
  <tableColumns count="6">
    <tableColumn id="1" name="Rule Type" dataDxfId="184"/>
    <tableColumn id="2" name="Chain/Rule Name" dataDxfId="183"/>
    <tableColumn id="3" name="Specification" dataDxfId="182"/>
    <tableColumn id="4" name="Security Comment" dataDxfId="181"/>
    <tableColumn id="5" name="Owner Comments" dataDxfId="180"/>
    <tableColumn id="6" name="Security Reviews" dataDxfId="179"/>
  </tableColumns>
  <tableStyleInfo name="TableStyleMedium14" showFirstColumn="0" showLastColumn="0" showRowStripes="1" showColumnStripes="0"/>
</table>
</file>

<file path=xl/tables/table5.xml><?xml version="1.0" encoding="utf-8"?>
<table xmlns="http://schemas.openxmlformats.org/spreadsheetml/2006/main" id="5" name="FirewallRulesP2" displayName="FirewallRulesP2" ref="A46:N49" headerRowCount="1" totalsRowShown="0" headerRowDxfId="178" dataDxfId="177">
  <autoFilter ref="A46:N49"/>
  <tableColumns count="14">
    <tableColumn id="1" name="Chain" dataDxfId="176"/>
    <tableColumn id="2" name="Packets" dataDxfId="175"/>
    <tableColumn id="3" name="Bytes" dataDxfId="174"/>
    <tableColumn id="4" name="Target" dataDxfId="173"/>
    <tableColumn id="5" name="Protocol" dataDxfId="172"/>
    <tableColumn id="6" name="Opt" dataDxfId="171"/>
    <tableColumn id="7" name="In" dataDxfId="170"/>
    <tableColumn id="8" name="Out" dataDxfId="169"/>
    <tableColumn id="9" name="Source" dataDxfId="168"/>
    <tableColumn id="10" name="Destination" dataDxfId="167"/>
    <tableColumn id="11" name="Extra" dataDxfId="166"/>
    <tableColumn id="12" name="Security Comment" dataDxfId="165"/>
    <tableColumn id="13" name="Owner Comments" dataDxfId="164"/>
    <tableColumn id="14" name="Security Reviews" dataDxfId="163"/>
  </tableColumns>
  <tableStyleInfo name="TableStyleMedium14" showFirstColumn="0" showLastColumn="0" showRowStripes="1" showColumnStripes="0"/>
</table>
</file>

<file path=xl/tables/table6.xml><?xml version="1.0" encoding="utf-8"?>
<table xmlns="http://schemas.openxmlformats.org/spreadsheetml/2006/main" id="6" name="ARPTable" displayName="ARPTable" ref="A55:H87" headerRowCount="1" totalsRowShown="0" headerRowDxfId="162" dataDxfId="161">
  <autoFilter ref="A55:H87"/>
  <tableColumns count="8">
    <tableColumn id="1" name="Interface" dataDxfId="160"/>
    <tableColumn id="2" name="Source Name" dataDxfId="159"/>
    <tableColumn id="3" name="Neighbor IP" dataDxfId="158"/>
    <tableColumn id="4" name="Destination MAC" dataDxfId="157"/>
    <tableColumn id="5" name="State" dataDxfId="156"/>
    <tableColumn id="6" name="Security Comment" dataDxfId="155"/>
    <tableColumn id="7" name="Owner Comments" dataDxfId="154"/>
    <tableColumn id="8" name="Security Reviews" dataDxfId="153"/>
  </tableColumns>
  <tableStyleInfo name="TableStyleMedium9" showFirstColumn="0" showLastColumn="0" showRowStripes="1" showColumnStripes="0"/>
</table>
</file>

<file path=xl/tables/table7.xml><?xml version="1.0" encoding="utf-8"?>
<table xmlns="http://schemas.openxmlformats.org/spreadsheetml/2006/main" id="7" name="Table22" displayName="Table22" ref="A1:V10" headerRowCount="1" totalsRowShown="0" headerRowBorderDxfId="152" tableBorderDxfId="151" totalsRowBorderDxfId="150">
  <autoFilter ref="A1:V10"/>
  <tableColumns count="22">
    <tableColumn id="1" name="NUM" dataDxfId="149"/>
    <tableColumn id="2" name="CVE" dataDxfId="148"/>
    <tableColumn id="3" name="Risk Severity" dataDxfId="147"/>
    <tableColumn id="4" name="Name" dataDxfId="146"/>
    <tableColumn id="5" name="Description" dataDxfId="145"/>
    <tableColumn id="6" name="Solution" dataDxfId="144"/>
    <tableColumn id="7" name="Component" dataDxfId="143"/>
    <tableColumn id="8" name="Installed version" dataDxfId="142"/>
    <tableColumn id="9" name="Fixed version" dataDxfId="141"/>
    <tableColumn id="10" name="Missing patch " dataDxfId="140"/>
    <tableColumn id="11" name="Path" dataDxfId="139"/>
    <tableColumn id="12" name="Remote package installed" dataDxfId="138"/>
    <tableColumn id="13" name="Should be" dataDxfId="137"/>
    <tableColumn id="14" name="Third-Party Advice" dataDxfId="136"/>
    <tableColumn id="15" name="Advice Type" dataDxfId="135"/>
    <tableColumn id="16" name="Security Comments" dataDxfId="134"/>
    <tableColumn id="17" name="Owner Comments" dataDxfId="133"/>
    <tableColumn id="18" name="Security Reviews" dataDxfId="132"/>
    <tableColumn id="19" name="Audit 1" dataDxfId="131"/>
    <tableColumn id="20" name="Security Reviews2" dataDxfId="130"/>
    <tableColumn id="21" name="Audit 2" dataDxfId="129"/>
    <tableColumn id="22" name="Security Reviews3" dataDxfId="128"/>
  </tableColumns>
  <tableStyleInfo name="TableStyleMedium2" showFirstColumn="0" showLastColumn="0" showRowStripes="1" showColumnStripes="0"/>
</table>
</file>

<file path=xl/tables/table8.xml><?xml version="1.0" encoding="utf-8"?>
<table xmlns="http://schemas.openxmlformats.org/spreadsheetml/2006/main" id="8" name="Table114" displayName="Table114" ref="A17:G339" headerRowCount="1" totalsRowShown="0" headerRowDxfId="127" dataDxfId="125" headerRowBorderDxfId="126">
  <autoFilter ref="A17:G339"/>
  <sortState ref="A18:G339">
    <sortCondition ref="B17:B339"/>
  </sortState>
  <tableColumns count="7">
    <tableColumn id="1" name="No. " dataDxfId="124"/>
    <tableColumn id="2" name="Title|Name Testcase" dataDxfId="123"/>
    <tableColumn id="3" name="Info|Description" dataDxfId="122"/>
    <tableColumn id="4" name="Check" dataDxfId="121"/>
    <tableColumn id="5" name="Fix|Solution" dataDxfId="120"/>
    <tableColumn id="6" name="Policy Value" dataDxfId="119"/>
    <tableColumn id="7" name="Result" dataDxfId="118"/>
  </tableColumns>
  <tableStyleInfo showFirstColumn="1" showLastColumn="0" showRowStripes="1" showColumnStripes="0"/>
</table>
</file>

<file path=xl/tables/table9.xml><?xml version="1.0" encoding="utf-8"?>
<table xmlns="http://schemas.openxmlformats.org/spreadsheetml/2006/main" id="9" name="Table219" displayName="Table219" ref="H17:O339" headerRowCount="1" totalsRowShown="0" headerRowDxfId="117" dataDxfId="115" headerRowBorderDxfId="116">
  <autoFilter ref="H17:O339"/>
  <tableColumns count="8">
    <tableColumn id="1" name="Auditor's Status" dataDxfId="114"/>
    <tableColumn id="2" name="Auditor's Comment" dataDxfId="113"/>
    <tableColumn id="3" name=" Owner's Status" dataDxfId="112"/>
    <tableColumn id="4" name="Owner's Comment" dataDxfId="111"/>
    <tableColumn id="5" name="Auditor's Status2" dataDxfId="110"/>
    <tableColumn id="6" name="Auditor's Comment2" dataDxfId="109"/>
    <tableColumn id="7" name=" Owner's Status2" dataDxfId="108"/>
    <tableColumn id="8" name="Owner's Comment2" dataDxfId="107"/>
  </tableColumns>
  <tableStyleInfo showFirstColumn="0" showLastColumn="0" showRowStripes="1" showColumnStripes="0"/>
</table>
</file>

<file path=xl/tables/table10.xml><?xml version="1.0" encoding="utf-8"?>
<table xmlns="http://schemas.openxmlformats.org/spreadsheetml/2006/main" id="10" name="Table320" displayName="Table320" ref="A8:G10" headerRowCount="1" totalsRowShown="0" headerRowDxfId="106" dataDxfId="104" headerRowBorderDxfId="105" tableBorderDxfId="103" totalsRowBorderDxfId="102">
  <tableColumns count="7">
    <tableColumn id="1" name="No." dataDxfId="101"/>
    <tableColumn id="3" name="Done" dataDxfId="100"/>
    <tableColumn id="4" name="Undone" dataDxfId="99"/>
    <tableColumn id="5" name="N/A" dataDxfId="98"/>
    <tableColumn id="6" name="Missing Evidence" dataDxfId="97"/>
    <tableColumn id="2" name="Manual Review" dataDxfId="96">
      <calculatedColumnFormula>COUNTIF([1]!Table219[Auditor''s Status],Table320[[#Headers],[Manual Review]])</calculatedColumnFormula>
    </tableColumn>
    <tableColumn id="7" name="Inprogress" dataDxfId="95">
      <calculatedColumnFormula>COUNTIF([1]!Table219[Auditor''s Status],Table320[[#Headers],[Inprogress]])</calculatedColumnFormula>
    </tableColumn>
  </tableColumns>
  <tableStyleInfo name="TableStyleMedium4" showFirstColumn="0" showLastColumn="0" showRowStripes="1" showColumnStripes="0"/>
</table>
</file>

<file path=xl/tables/table11.xml><?xml version="1.0" encoding="utf-8"?>
<table xmlns="http://schemas.openxmlformats.org/spreadsheetml/2006/main" id="11" name="Table21" displayName="Table21" ref="A1:D14" headerRowCount="1" totalsRowShown="0" headerRowDxfId="94" dataDxfId="93" tableBorderDxfId="92">
  <autoFilter ref="A1:D14"/>
  <tableColumns count="4">
    <tableColumn id="1" name="Remediations" dataDxfId="91"/>
    <tableColumn id="2" name="Security Comment" dataDxfId="90"/>
    <tableColumn id="3" name="Owner Comment" dataDxfId="89"/>
    <tableColumn id="4" name="Security Reviews" dataDxfId="88"/>
  </tableColumns>
  <tableStyleInfo name="TableStyleMedium2" showFirstColumn="0" showLastColumn="0" showRowStripes="1" showColumnStripes="0"/>
</table>
</file>

<file path=xl/tables/table12.xml><?xml version="1.0" encoding="utf-8"?>
<table xmlns="http://schemas.openxmlformats.org/spreadsheetml/2006/main" id="12" name="Table475" displayName="Table475" ref="A1:D30" headerRowCount="1" totalsRowShown="0" headerRowDxfId="87" dataDxfId="86">
  <autoFilter ref="A1:D30"/>
  <tableColumns count="4">
    <tableColumn id="1" name="Package" dataDxfId="85"/>
    <tableColumn id="2" name="Security comment" dataDxfId="84"/>
    <tableColumn id="3" name="Owner Comment" dataDxfId="83"/>
    <tableColumn id="4" name="Security Reviews" dataDxfId="82"/>
  </tableColumns>
  <tableStyleInfo name="TableStyleMedium9" showFirstColumn="0" showLastColumn="0" showRowStripes="1" showColumnStripes="0"/>
</table>
</file>

<file path=xl/tables/table13.xml><?xml version="1.0" encoding="utf-8"?>
<table xmlns="http://schemas.openxmlformats.org/spreadsheetml/2006/main" id="13" name="Table20" displayName="Table20" ref="A1:L26" headerRowCount="1" totalsRowShown="0" headerRowDxfId="81" dataDxfId="80" tableBorderDxfId="79">
  <autoFilter ref="A1:L26"/>
  <tableColumns count="12">
    <tableColumn id="1" name="Host" dataDxfId="78"/>
    <tableColumn id="2" name="Username" dataDxfId="77"/>
    <tableColumn id="3" name="User ID" dataDxfId="76"/>
    <tableColumn id="4" name="Group ID" dataDxfId="75"/>
    <tableColumn id="5" name="Realname" dataDxfId="74"/>
    <tableColumn id="6" name="Shell path" dataDxfId="73"/>
    <tableColumn id="7" name="Home Directory" dataDxfId="72"/>
    <tableColumn id="8" name="Whitelist 1" dataDxfId="71" dataCellStyle="Accent6"/>
    <tableColumn id="9" name="Whitelist 2" dataDxfId="70"/>
    <tableColumn id="10" name="Security Comment" dataDxfId="69"/>
    <tableColumn id="11" name="Owner Comment" dataDxfId="68"/>
    <tableColumn id="12" name="Security Reviews" dataDxfId="67"/>
  </tableColumns>
  <tableStyleInfo name="TableStyleMedium2" showFirstColumn="0" showLastColumn="0" showRowStripes="1" showColumnStripes="0"/>
</table>
</file>

<file path=xl/tables/table14.xml><?xml version="1.0" encoding="utf-8"?>
<table xmlns="http://schemas.openxmlformats.org/spreadsheetml/2006/main" id="14" name="Table19" displayName="Table19" ref="A1:G7" headerRowCount="1" totalsRowShown="0" headerRowDxfId="66" dataDxfId="64" headerRowBorderDxfId="65" tableBorderDxfId="63" totalsRowBorderDxfId="62">
  <autoFilter ref="A1:G7"/>
  <tableColumns count="7">
    <tableColumn id="1" name="Host" dataDxfId="61"/>
    <tableColumn id="2" name="Destination" dataDxfId="60"/>
    <tableColumn id="3" name="Gateway" dataDxfId="59"/>
    <tableColumn id="4" name="Interface" dataDxfId="58"/>
    <tableColumn id="5" name="Security Comment" dataDxfId="57"/>
    <tableColumn id="6" name="Owner Comment" dataDxfId="56"/>
    <tableColumn id="7" name="Security Reviews" dataDxfId="55"/>
  </tableColumns>
  <tableStyleInfo name="TableStyleMedium2" showFirstColumn="0" showLastColumn="0" showRowStripes="1" showColumnStripes="0"/>
</table>
</file>

<file path=xl/tables/table15.xml><?xml version="1.0" encoding="utf-8"?>
<table xmlns="http://schemas.openxmlformats.org/spreadsheetml/2006/main" id="15" name="Table18" displayName="Table18" ref="A1:G10" headerRowCount="1" totalsRowShown="0" headerRowDxfId="54" headerRowBorderDxfId="53" tableBorderDxfId="52" totalsRowBorderDxfId="51">
  <autoFilter ref="A1:G10"/>
  <tableColumns count="7">
    <tableColumn id="1" name="Host" dataDxfId="50"/>
    <tableColumn id="2" name="Group Name" dataDxfId="49"/>
    <tableColumn id="3" name="GID" dataDxfId="48"/>
    <tableColumn id="4" name="Group Member" dataDxfId="47"/>
    <tableColumn id="5" name="Security Comment" dataDxfId="46"/>
    <tableColumn id="6" name="Owner Comment" dataDxfId="45"/>
    <tableColumn id="7" name="Security Reviews" dataDxfId="44"/>
  </tableColumns>
  <tableStyleInfo name="TableStyleMedium2" showFirstColumn="0" showLastColumn="0" showRowStripes="1" showColumnStripes="0"/>
</table>
</file>

<file path=xl/tables/table16.xml><?xml version="1.0" encoding="utf-8"?>
<table xmlns="http://schemas.openxmlformats.org/spreadsheetml/2006/main" id="16" name="Table17" displayName="Table17" ref="A1:E19" headerRowCount="1" totalsRowShown="0" headerRowDxfId="43" dataDxfId="42" tableBorderDxfId="41">
  <autoFilter ref="A1:E19"/>
  <tableColumns count="5">
    <tableColumn id="1" name="PID" dataDxfId="40"/>
    <tableColumn id="2" name="Path" dataDxfId="39"/>
    <tableColumn id="3" name="Security Comment" dataDxfId="38"/>
    <tableColumn id="4" name="Owner Comment" dataDxfId="37"/>
    <tableColumn id="5" name="Security Reviews" dataDxfId="36"/>
  </tableColumns>
  <tableStyleInfo name="TableStyleMedium2" showFirstColumn="0" showLastColumn="0" showRowStripes="1" showColumnStripes="0"/>
</table>
</file>

<file path=xl/tables/table17.xml><?xml version="1.0" encoding="utf-8"?>
<table xmlns="http://schemas.openxmlformats.org/spreadsheetml/2006/main" id="17" name="Table15" displayName="Table15" ref="A1:E4" headerRowCount="1" totalsRowShown="0" headerRowDxfId="35" headerRowBorderDxfId="34" tableBorderDxfId="33" totalsRowBorderDxfId="32">
  <autoFilter ref="A1:E4"/>
  <tableColumns count="5">
    <tableColumn id="1" name="Host" dataDxfId="31"/>
    <tableColumn id="2" name="cronjob" dataDxfId="30"/>
    <tableColumn id="3" name="Security Comment" dataDxfId="29"/>
    <tableColumn id="4" name="Owner Comment" dataDxfId="28"/>
    <tableColumn id="5" name="Security Reviews" dataDxfId="27"/>
  </tableColumns>
  <tableStyleInfo name="TableStyleMedium2" showFirstColumn="0" showLastColumn="0" showRowStripes="1" showColumnStripes="0"/>
</table>
</file>

<file path=xl/tables/table18.xml><?xml version="1.0" encoding="utf-8"?>
<table xmlns="http://schemas.openxmlformats.org/spreadsheetml/2006/main" id="18" name="Table3" displayName="Table3" ref="A1:E17" headerRowCount="1" totalsRowShown="0" headerRowDxfId="26" dataDxfId="24" headerRowBorderDxfId="25" tableBorderDxfId="23" totalsRowBorderDxfId="22">
  <autoFilter ref="A1:E17"/>
  <tableColumns count="5">
    <tableColumn id="1" name="user" dataDxfId="21"/>
    <tableColumn id="2" name="Environment" dataDxfId="20"/>
    <tableColumn id="3" name="Security Comment" dataDxfId="19"/>
    <tableColumn id="4" name="Owner Comment" dataDxfId="18"/>
    <tableColumn id="5" name="Security Reviews" dataDxfId="17"/>
  </tableColumns>
  <tableStyleInfo name="TableStyleMedium2" showFirstColumn="0" showLastColumn="0" showRowStripes="1" showColumnStripes="0"/>
</table>
</file>

<file path=xl/tables/table19.xml><?xml version="1.0" encoding="utf-8"?>
<table xmlns="http://schemas.openxmlformats.org/spreadsheetml/2006/main" id="19" name="Table16" displayName="Table16" ref="A1:E19" headerRowCount="1" totalsRowShown="0" headerRowDxfId="16" dataDxfId="15">
  <autoFilter ref="A1:E19"/>
  <tableColumns count="5">
    <tableColumn id="1" name="Host" dataDxfId="14"/>
    <tableColumn id="2" name="ssh known hosts" dataDxfId="13"/>
    <tableColumn id="3" name="Security Comment" dataDxfId="12"/>
    <tableColumn id="4" name="Owner Comment" dataDxfId="11"/>
    <tableColumn id="5" name="Security Reviews"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 Type="http://schemas.openxmlformats.org/officeDocument/2006/relationships/table" Target="/xl/tables/table4.xml" Id="rId3"/><Relationship Type="http://schemas.openxmlformats.org/officeDocument/2006/relationships/table" Target="/xl/tables/table5.xml" Id="rId4"/><Relationship Type="http://schemas.openxmlformats.org/officeDocument/2006/relationships/table" Target="/xl/tables/table6.xml" Id="rId5"/></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table" Target="/xl/tables/table7.xml" Id="rId1"/></Relationships>
</file>

<file path=xl/worksheets/_rels/sheet7.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 Type="http://schemas.openxmlformats.org/officeDocument/2006/relationships/table" Target="/xl/tables/table10.xml" Id="rId3"/></Relationships>
</file>

<file path=xl/worksheets/_rels/sheet8.xml.rels><Relationships xmlns="http://schemas.openxmlformats.org/package/2006/relationships"><Relationship Type="http://schemas.openxmlformats.org/officeDocument/2006/relationships/table" Target="/xl/tables/table11.xml" Id="rId1"/></Relationships>
</file>

<file path=xl/worksheets/_rels/sheet9.xml.rels><Relationships xmlns="http://schemas.openxmlformats.org/package/2006/relationships"><Relationship Type="http://schemas.openxmlformats.org/officeDocument/2006/relationships/table" Target="/xl/tables/table12.xml" Id="rId1"/></Relationships>
</file>

<file path=xl/worksheets/_rels/sheet10.xml.rels><Relationships xmlns="http://schemas.openxmlformats.org/package/2006/relationships"><Relationship Type="http://schemas.openxmlformats.org/officeDocument/2006/relationships/table" Target="/xl/tables/table13.xml" Id="rId1"/></Relationships>
</file>

<file path=xl/worksheets/_rels/sheet13.xml.rels><Relationships xmlns="http://schemas.openxmlformats.org/package/2006/relationships"><Relationship Type="http://schemas.openxmlformats.org/officeDocument/2006/relationships/table" Target="/xl/tables/table14.xml" Id="rId1"/></Relationships>
</file>

<file path=xl/worksheets/_rels/sheet14.xml.rels><Relationships xmlns="http://schemas.openxmlformats.org/package/2006/relationships"><Relationship Type="http://schemas.openxmlformats.org/officeDocument/2006/relationships/table" Target="/xl/tables/table15.xml" Id="rId1"/></Relationships>
</file>

<file path=xl/worksheets/_rels/sheet15.xml.rels><Relationships xmlns="http://schemas.openxmlformats.org/package/2006/relationships"><Relationship Type="http://schemas.openxmlformats.org/officeDocument/2006/relationships/table" Target="/xl/tables/table16.xml" Id="rId1"/></Relationships>
</file>

<file path=xl/worksheets/_rels/sheet16.xml.rels><Relationships xmlns="http://schemas.openxmlformats.org/package/2006/relationships"><Relationship Type="http://schemas.openxmlformats.org/officeDocument/2006/relationships/table" Target="/xl/tables/table17.xml" Id="rId1"/></Relationships>
</file>

<file path=xl/worksheets/_rels/sheet17.xml.rels><Relationships xmlns="http://schemas.openxmlformats.org/package/2006/relationships"><Relationship Type="http://schemas.openxmlformats.org/officeDocument/2006/relationships/table" Target="/xl/tables/table18.xml" Id="rId1"/></Relationships>
</file>

<file path=xl/worksheets/_rels/sheet18.xml.rels><Relationships xmlns="http://schemas.openxmlformats.org/package/2006/relationships"><Relationship Type="http://schemas.openxmlformats.org/officeDocument/2006/relationships/table" Target="/xl/tables/table19.xml" Id="rId1"/></Relationships>
</file>

<file path=xl/worksheets/sheet1.xml><?xml version="1.0" encoding="utf-8"?>
<worksheet xmlns="http://schemas.openxmlformats.org/spreadsheetml/2006/main">
  <sheetPr>
    <outlinePr summaryBelow="1" summaryRight="1"/>
    <pageSetUpPr/>
  </sheetPr>
  <dimension ref="A1:N32"/>
  <sheetViews>
    <sheetView tabSelected="1" view="pageBreakPreview" zoomScaleNormal="85" zoomScaleSheetLayoutView="100" workbookViewId="0">
      <selection activeCell="T9" sqref="T9"/>
    </sheetView>
  </sheetViews>
  <sheetFormatPr baseColWidth="8" defaultColWidth="9.140625" defaultRowHeight="15"/>
  <cols>
    <col width="9.140625" customWidth="1" style="165" min="1" max="12"/>
    <col width="7.140625" customWidth="1" style="165" min="13" max="13"/>
    <col width="4.5703125" customWidth="1" style="165" min="14" max="14"/>
    <col width="9.140625" customWidth="1" style="165" min="15" max="15"/>
    <col width="9.140625" customWidth="1" style="165" min="16" max="16384"/>
  </cols>
  <sheetData>
    <row r="1"/>
    <row r="2"/>
    <row r="3"/>
    <row r="4">
      <c r="E4" s="162" t="inlineStr">
        <is>
          <t xml:space="preserve">گزارش ارزیابی امنیتی سیستم عامل های سامانه </t>
        </is>
      </c>
    </row>
    <row r="5">
      <c r="M5" s="5" t="n"/>
      <c r="N5" s="5" t="n"/>
    </row>
    <row r="6">
      <c r="M6" s="5" t="n"/>
      <c r="N6" s="5" t="n"/>
    </row>
    <row r="7">
      <c r="M7" s="5" t="n"/>
      <c r="N7" s="5" t="n"/>
    </row>
    <row r="8">
      <c r="M8" s="5" t="n"/>
      <c r="N8" s="5" t="n"/>
    </row>
    <row r="9">
      <c r="M9" s="5" t="n"/>
      <c r="N9" s="5" t="n"/>
    </row>
    <row r="10">
      <c r="M10" s="5" t="n"/>
      <c r="N10" s="5" t="n"/>
    </row>
    <row r="11">
      <c r="M11" s="5" t="n"/>
      <c r="N11" s="5" t="n"/>
    </row>
    <row r="12">
      <c r="M12" s="5" t="n"/>
      <c r="N12" s="5" t="n"/>
    </row>
    <row r="13"/>
    <row r="14"/>
    <row r="15" ht="25.5" customHeight="1">
      <c r="D15" s="6" t="n"/>
    </row>
    <row r="16" ht="25.5" customHeight="1">
      <c r="D16" s="6" t="n"/>
    </row>
    <row r="17" ht="25.5" customHeight="1">
      <c r="D17" s="6" t="n"/>
      <c r="H17" s="164" t="inlineStr">
        <is>
          <t xml:space="preserve">گروه ارزیابی امنیتی و امن‌سازی سامانه های CT
شرکت 
آدرس: </t>
        </is>
      </c>
      <c r="N17" s="7" t="n"/>
    </row>
    <row r="18" ht="17.25" customHeight="1">
      <c r="D18" s="8" t="n"/>
      <c r="N18" s="7" t="n"/>
    </row>
    <row r="19" ht="17.25" customHeight="1">
      <c r="D19" s="8" t="n"/>
      <c r="N19" s="7" t="n"/>
    </row>
    <row r="20" ht="17.25" customHeight="1">
      <c r="D20" s="8" t="n"/>
      <c r="N20" s="7" t="n"/>
    </row>
    <row r="21" ht="17.25" customHeight="1">
      <c r="D21" s="8" t="n"/>
      <c r="N21" s="7" t="n"/>
    </row>
    <row r="22" ht="17.25" customHeight="1">
      <c r="D22" s="8" t="n"/>
      <c r="N22" s="7" t="n"/>
    </row>
    <row r="23" ht="17.25" customHeight="1">
      <c r="D23" s="8" t="n"/>
      <c r="N23" s="7" t="n"/>
    </row>
    <row r="24" ht="17.25" customHeight="1">
      <c r="D24" s="9" t="n"/>
      <c r="E24" s="10" t="n"/>
      <c r="N24" s="7" t="n"/>
    </row>
    <row r="25" ht="17.25" customHeight="1">
      <c r="D25" s="9" t="n"/>
      <c r="N25" s="7" t="n"/>
    </row>
    <row r="26" ht="17.25" customHeight="1">
      <c r="D26" s="9" t="n"/>
      <c r="N26" s="7" t="n"/>
    </row>
    <row r="27"/>
    <row r="28" ht="18.75" customHeight="1">
      <c r="D28" s="11" t="n"/>
    </row>
    <row r="29" ht="18.75" customHeight="1">
      <c r="D29" s="11" t="n"/>
    </row>
    <row r="30" ht="18.75" customHeight="1">
      <c r="D30" s="12" t="n"/>
    </row>
    <row r="31" ht="18.75" customHeight="1">
      <c r="D31" s="11" t="n"/>
    </row>
    <row r="32">
      <c r="D32" s="13" t="n"/>
    </row>
  </sheetData>
  <mergeCells count="2">
    <mergeCell ref="H17:M26"/>
    <mergeCell ref="E4:I8"/>
  </mergeCells>
  <pageMargins left="0.7" right="0.7" top="0.75" bottom="0.75" header="0.3" footer="0.3"/>
  <pageSetup orientation="landscape" scale="92"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21"/>
  <sheetViews>
    <sheetView zoomScaleNormal="100" workbookViewId="0">
      <selection activeCell="A24" sqref="A24:XFD30"/>
    </sheetView>
  </sheetViews>
  <sheetFormatPr baseColWidth="8" defaultRowHeight="15"/>
  <cols>
    <col width="12" bestFit="1" customWidth="1" min="1" max="1"/>
    <col width="23.7109375" bestFit="1" customWidth="1" min="2" max="2"/>
  </cols>
  <sheetData>
    <row r="1">
      <c r="A1" s="16" t="inlineStr">
        <is>
          <t>Owner</t>
        </is>
      </c>
      <c r="B1" s="17" t="inlineStr">
        <is>
          <t>EGK</t>
        </is>
      </c>
    </row>
    <row r="2">
      <c r="A2" s="18" t="inlineStr">
        <is>
          <t>Publish date</t>
        </is>
      </c>
      <c r="B2" s="22" t="inlineStr">
        <is>
          <t>1403/12/14</t>
        </is>
      </c>
    </row>
    <row r="3">
      <c r="A3" s="18" t="inlineStr">
        <is>
          <t>Status</t>
        </is>
      </c>
      <c r="B3" s="25" t="inlineStr">
        <is>
          <t>Confidential</t>
        </is>
      </c>
    </row>
    <row r="4">
      <c r="A4" s="18" t="inlineStr">
        <is>
          <t>Publisher</t>
        </is>
      </c>
      <c r="B4" s="26" t="n"/>
    </row>
    <row r="5" ht="15.75" customHeight="1" thickBot="1">
      <c r="A5" s="27" t="inlineStr">
        <is>
          <t>Confirmer</t>
        </is>
      </c>
      <c r="B5" s="28" t="n"/>
    </row>
    <row r="6"/>
    <row r="7" ht="15.75" customHeight="1" thickBot="1"/>
    <row r="8" ht="15.75" customHeight="1" thickBot="1">
      <c r="A8" s="195" t="inlineStr">
        <is>
          <t>Audit 1</t>
        </is>
      </c>
      <c r="B8" s="196" t="n"/>
    </row>
    <row r="9">
      <c r="A9" s="16" t="inlineStr">
        <is>
          <t>Owner</t>
        </is>
      </c>
      <c r="B9" s="17" t="inlineStr">
        <is>
          <t>EGK</t>
        </is>
      </c>
    </row>
    <row r="10">
      <c r="A10" s="18" t="inlineStr">
        <is>
          <t>Publish date</t>
        </is>
      </c>
      <c r="B10" s="22" t="inlineStr">
        <is>
          <t>1403/12/14</t>
        </is>
      </c>
    </row>
    <row r="11">
      <c r="A11" s="18" t="inlineStr">
        <is>
          <t>Status</t>
        </is>
      </c>
      <c r="B11" s="25" t="inlineStr">
        <is>
          <t>Confidential</t>
        </is>
      </c>
    </row>
    <row r="12">
      <c r="A12" s="18" t="inlineStr">
        <is>
          <t>Publisher</t>
        </is>
      </c>
      <c r="B12" s="26" t="n"/>
    </row>
    <row r="13" ht="15.75" customHeight="1" thickBot="1">
      <c r="A13" s="27" t="inlineStr">
        <is>
          <t>Confirmer</t>
        </is>
      </c>
      <c r="B13" s="28" t="n"/>
    </row>
    <row r="14"/>
    <row r="15" ht="15.75" customHeight="1" thickBot="1"/>
    <row r="16" ht="15.75" customHeight="1" thickBot="1">
      <c r="A16" s="195" t="inlineStr">
        <is>
          <t>Audit 2</t>
        </is>
      </c>
      <c r="B16" s="196" t="n"/>
    </row>
    <row r="17">
      <c r="A17" s="16" t="inlineStr">
        <is>
          <t>Owner</t>
        </is>
      </c>
      <c r="B17" s="17" t="inlineStr">
        <is>
          <t>EGK</t>
        </is>
      </c>
    </row>
    <row r="18">
      <c r="A18" s="18" t="inlineStr">
        <is>
          <t>Publish date</t>
        </is>
      </c>
      <c r="B18" s="22" t="inlineStr">
        <is>
          <t>1403/12/14</t>
        </is>
      </c>
    </row>
    <row r="19">
      <c r="A19" s="18" t="inlineStr">
        <is>
          <t>Status</t>
        </is>
      </c>
      <c r="B19" s="25" t="inlineStr">
        <is>
          <t>Confidential</t>
        </is>
      </c>
    </row>
    <row r="20">
      <c r="A20" s="18" t="inlineStr">
        <is>
          <t>Publisher</t>
        </is>
      </c>
      <c r="B20" s="26" t="n"/>
    </row>
    <row r="21" ht="15.75" customHeight="1" thickBot="1">
      <c r="A21" s="27" t="inlineStr">
        <is>
          <t>Confirmer</t>
        </is>
      </c>
      <c r="B21" s="28" t="n"/>
    </row>
  </sheetData>
  <mergeCells count="2">
    <mergeCell ref="A8:B8"/>
    <mergeCell ref="A16:B16"/>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2"/>
  <sheetViews>
    <sheetView zoomScale="70" zoomScaleNormal="70" workbookViewId="0">
      <pane ySplit="1" topLeftCell="A2" activePane="bottomLeft" state="frozen"/>
      <selection pane="bottomLeft" activeCell="D17" sqref="D17"/>
    </sheetView>
  </sheetViews>
  <sheetFormatPr baseColWidth="8" defaultColWidth="8.85546875" defaultRowHeight="15"/>
  <cols>
    <col width="67.7109375" customWidth="1" style="102" min="1" max="1"/>
    <col width="39.7109375" bestFit="1" customWidth="1" style="102" min="2" max="2"/>
    <col width="39.85546875" customWidth="1" style="102" min="3" max="3"/>
    <col width="120" customWidth="1" style="102" min="4" max="4"/>
    <col width="59.28515625" customWidth="1" style="102" min="5" max="5"/>
    <col width="27" customWidth="1" style="102" min="6" max="6"/>
    <col width="86.7109375" customWidth="1" style="103" min="7" max="7"/>
    <col width="80.42578125" customWidth="1" style="103" min="8" max="8"/>
    <col width="8.85546875" customWidth="1" style="102" min="9" max="16384"/>
  </cols>
  <sheetData>
    <row r="1" ht="37.5" customFormat="1" customHeight="1" s="89">
      <c r="A1" s="104" t="inlineStr">
        <is>
          <t>OS Description</t>
        </is>
      </c>
      <c r="B1" s="92" t="inlineStr">
        <is>
          <t>Hostname</t>
        </is>
      </c>
      <c r="C1" s="92" t="inlineStr">
        <is>
          <t>IP Address (OAM)</t>
        </is>
      </c>
      <c r="D1" s="92" t="inlineStr">
        <is>
          <t>MAC Address</t>
        </is>
      </c>
      <c r="E1" s="92" t="inlineStr">
        <is>
          <t>OS (uname -a)</t>
        </is>
      </c>
      <c r="F1" s="92" t="inlineStr">
        <is>
          <t>SOC Agent</t>
        </is>
      </c>
      <c r="G1" s="92" t="inlineStr">
        <is>
          <t>TCP/UDP open Ports Inbound</t>
        </is>
      </c>
      <c r="H1" s="92" t="inlineStr">
        <is>
          <t>TCP/UDP open Ports Outband</t>
        </is>
      </c>
    </row>
    <row r="2" ht="117" customHeight="1">
      <c r="A2" s="89" t="n"/>
      <c r="C2" s="89" t="n"/>
      <c r="E2" s="89" t="n"/>
      <c r="F2" s="89"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N61"/>
  <sheetViews>
    <sheetView topLeftCell="A34" zoomScale="70" zoomScaleNormal="70" workbookViewId="0">
      <selection activeCell="A47" sqref="A47:XFD47"/>
    </sheetView>
  </sheetViews>
  <sheetFormatPr baseColWidth="8" defaultColWidth="9.140625" defaultRowHeight="15"/>
  <cols>
    <col width="20.85546875" customWidth="1" style="194" min="1" max="1"/>
    <col width="30.28515625" bestFit="1" customWidth="1" style="194" min="2" max="2"/>
    <col width="24.5703125" customWidth="1" style="194" min="3" max="3"/>
    <col width="29.5703125" bestFit="1" customWidth="1" style="194" min="4" max="4"/>
    <col width="24.42578125" customWidth="1" style="194" min="5" max="5"/>
    <col width="34.42578125" bestFit="1" customWidth="1" style="194" min="6" max="6"/>
    <col width="25.28515625" customWidth="1" style="194" min="7" max="7"/>
    <col width="18.42578125" customWidth="1" style="194" min="8" max="8"/>
    <col width="24.85546875" customWidth="1" style="194" min="9" max="9"/>
    <col width="25.85546875" customWidth="1" style="194" min="10" max="10"/>
    <col width="31.140625" bestFit="1" customWidth="1" style="194" min="11" max="11"/>
    <col width="77.28515625" customWidth="1" style="194" min="12" max="12"/>
    <col width="31.42578125" customWidth="1" style="194" min="13" max="13"/>
    <col width="31.5703125" customWidth="1" style="194" min="14" max="14"/>
    <col width="9.140625" customWidth="1" style="194" min="15" max="16384"/>
  </cols>
  <sheetData>
    <row r="1" ht="21" customHeight="1">
      <c r="A1" s="168" t="inlineStr">
        <is>
          <t>Connection Matrix</t>
        </is>
      </c>
      <c r="B1" s="197" t="n"/>
      <c r="C1" s="197" t="n"/>
      <c r="D1" s="197" t="n"/>
      <c r="E1" s="197" t="n"/>
      <c r="F1" s="197" t="n"/>
      <c r="G1" s="197" t="n"/>
      <c r="H1" s="197" t="n"/>
      <c r="I1" s="197" t="n"/>
      <c r="J1" s="197" t="n"/>
      <c r="K1" s="197" t="n"/>
      <c r="L1" s="197" t="n"/>
      <c r="M1" s="197" t="n"/>
      <c r="N1" s="198" t="n"/>
    </row>
    <row r="2" ht="14.1" customHeight="1">
      <c r="A2" s="101" t="inlineStr">
        <is>
          <t>VRF Name</t>
        </is>
      </c>
      <c r="B2" s="101" t="inlineStr">
        <is>
          <t>Interface Name</t>
        </is>
      </c>
      <c r="C2" s="101" t="inlineStr">
        <is>
          <t>Source Name</t>
        </is>
      </c>
      <c r="D2" s="101" t="inlineStr">
        <is>
          <t>Source IP Address</t>
        </is>
      </c>
      <c r="E2" s="101" t="inlineStr">
        <is>
          <t>Source Port</t>
        </is>
      </c>
      <c r="F2" s="101" t="inlineStr">
        <is>
          <t>Protocol</t>
        </is>
      </c>
      <c r="G2" s="101" t="inlineStr">
        <is>
          <t>Destination Name</t>
        </is>
      </c>
      <c r="H2" s="101" t="inlineStr">
        <is>
          <t>Destination IP Address</t>
        </is>
      </c>
      <c r="I2" s="101" t="inlineStr">
        <is>
          <t>Destination Port</t>
        </is>
      </c>
      <c r="J2" s="101" t="inlineStr">
        <is>
          <t>State</t>
        </is>
      </c>
      <c r="K2" s="101" t="inlineStr">
        <is>
          <t>Purpose / Notes</t>
        </is>
      </c>
      <c r="L2" s="101" t="inlineStr">
        <is>
          <t>Security Comment</t>
        </is>
      </c>
      <c r="M2" s="101" t="inlineStr">
        <is>
          <t>Owner Comments</t>
        </is>
      </c>
      <c r="N2" s="101" t="inlineStr">
        <is>
          <t>Security Reviews</t>
        </is>
      </c>
    </row>
    <row r="3">
      <c r="A3" s="100" t="n"/>
      <c r="B3" s="21" t="n"/>
      <c r="C3" s="21" t="n"/>
      <c r="D3" s="21" t="n"/>
      <c r="E3" s="21" t="n"/>
      <c r="F3" s="21" t="n"/>
      <c r="G3" s="21" t="n"/>
      <c r="H3" s="21" t="n"/>
      <c r="I3" s="21" t="n"/>
      <c r="J3" s="21" t="n"/>
      <c r="K3" s="21" t="n"/>
      <c r="L3" s="21" t="n"/>
      <c r="M3" s="21" t="n"/>
      <c r="N3" s="21" t="n"/>
    </row>
    <row r="4">
      <c r="A4" s="100" t="n"/>
      <c r="B4" s="21" t="n"/>
      <c r="C4" s="21" t="n"/>
      <c r="D4" s="21" t="n"/>
      <c r="E4" s="21" t="n"/>
      <c r="F4" s="21" t="n"/>
      <c r="G4" s="21" t="n"/>
      <c r="H4" s="21" t="n"/>
      <c r="I4" s="21" t="n"/>
      <c r="J4" s="21" t="n"/>
      <c r="K4" s="21" t="n"/>
      <c r="L4" s="21" t="n"/>
      <c r="M4" s="21" t="n"/>
      <c r="N4" s="21" t="n"/>
    </row>
    <row r="5">
      <c r="A5" s="100" t="n"/>
      <c r="B5" s="21" t="n"/>
      <c r="C5" s="21" t="n"/>
      <c r="D5" s="21" t="n"/>
      <c r="E5" s="21" t="n"/>
      <c r="F5" s="21" t="n"/>
      <c r="G5" s="21" t="n"/>
      <c r="H5" s="21" t="n"/>
      <c r="I5" s="21" t="n"/>
      <c r="J5" s="21" t="n"/>
      <c r="K5" s="21" t="n"/>
      <c r="L5" s="21" t="n"/>
      <c r="M5" s="21" t="n"/>
      <c r="N5" s="21" t="n"/>
    </row>
    <row r="6">
      <c r="A6" s="100" t="n"/>
      <c r="B6" s="21" t="n"/>
      <c r="C6" s="21" t="n"/>
      <c r="D6" s="21" t="n"/>
      <c r="E6" s="21" t="n"/>
      <c r="F6" s="21" t="n"/>
      <c r="G6" s="21" t="n"/>
      <c r="H6" s="21" t="n"/>
      <c r="I6" s="21" t="n"/>
      <c r="J6" s="21" t="n"/>
      <c r="K6" s="21" t="n"/>
      <c r="L6" s="21" t="n"/>
      <c r="M6" s="21" t="n"/>
      <c r="N6" s="21" t="n"/>
    </row>
    <row r="7">
      <c r="A7" s="100" t="n"/>
      <c r="B7" s="21" t="n"/>
      <c r="C7" s="21" t="n"/>
      <c r="D7" s="21" t="n"/>
      <c r="E7" s="21" t="n"/>
      <c r="F7" s="21" t="n"/>
      <c r="G7" s="21" t="n"/>
      <c r="H7" s="21" t="n"/>
      <c r="I7" s="21" t="n"/>
      <c r="J7" s="21" t="n"/>
      <c r="K7" s="21" t="n"/>
      <c r="L7" s="21" t="n"/>
      <c r="M7" s="21" t="n"/>
      <c r="N7" s="21" t="n"/>
    </row>
    <row r="8">
      <c r="A8" s="100" t="n"/>
      <c r="B8" s="21" t="n"/>
      <c r="C8" s="21" t="n"/>
      <c r="D8" s="21" t="n"/>
      <c r="E8" s="21" t="n"/>
      <c r="F8" s="21" t="n"/>
      <c r="G8" s="21" t="n"/>
      <c r="H8" s="21" t="n"/>
      <c r="I8" s="21" t="n"/>
      <c r="J8" s="21" t="n"/>
      <c r="K8" s="21" t="n"/>
      <c r="L8" s="21" t="n"/>
      <c r="M8" s="21" t="n"/>
      <c r="N8" s="21" t="n"/>
    </row>
    <row r="9">
      <c r="A9" s="100" t="n"/>
      <c r="B9" s="21" t="n"/>
      <c r="C9" s="21" t="n"/>
      <c r="D9" s="21" t="n"/>
      <c r="E9" s="21" t="n"/>
      <c r="F9" s="21" t="n"/>
      <c r="G9" s="21" t="n"/>
      <c r="H9" s="21" t="n"/>
      <c r="I9" s="21" t="n"/>
      <c r="J9" s="21" t="n"/>
      <c r="K9" s="21" t="n"/>
      <c r="L9" s="21" t="n"/>
      <c r="M9" s="21" t="n"/>
      <c r="N9" s="21" t="n"/>
    </row>
    <row r="10"/>
    <row r="11"/>
    <row r="12"/>
    <row r="13">
      <c r="A13" s="169" t="inlineStr">
        <is>
          <t>Active Connections</t>
        </is>
      </c>
    </row>
    <row r="14">
      <c r="A14" s="194" t="inlineStr">
        <is>
          <t>Protocol</t>
        </is>
      </c>
      <c r="B14" s="194" t="inlineStr">
        <is>
          <t>Recv-Q</t>
        </is>
      </c>
      <c r="C14" s="194" t="inlineStr">
        <is>
          <t>Send-Q</t>
        </is>
      </c>
      <c r="D14" s="194" t="inlineStr">
        <is>
          <t>Source IP Address</t>
        </is>
      </c>
      <c r="E14" s="194" t="inlineStr">
        <is>
          <t>Source Port Number</t>
        </is>
      </c>
      <c r="F14" s="194" t="inlineStr">
        <is>
          <t>Destination IP Address</t>
        </is>
      </c>
      <c r="G14" s="194" t="inlineStr">
        <is>
          <t>Destination Port Number</t>
        </is>
      </c>
      <c r="H14" s="194" t="inlineStr">
        <is>
          <t>State</t>
        </is>
      </c>
      <c r="I14" s="194" t="inlineStr">
        <is>
          <t>User</t>
        </is>
      </c>
      <c r="J14" s="194" t="inlineStr">
        <is>
          <t>Inode</t>
        </is>
      </c>
      <c r="K14" s="194" t="inlineStr">
        <is>
          <t>Identified / Likely Service</t>
        </is>
      </c>
      <c r="L14" s="194" t="inlineStr">
        <is>
          <t>Security Comment</t>
        </is>
      </c>
      <c r="M14" s="194" t="inlineStr">
        <is>
          <t>Owner Comments</t>
        </is>
      </c>
      <c r="N14" s="194" t="inlineStr">
        <is>
          <t>Security Reviews</t>
        </is>
      </c>
    </row>
    <row r="15" ht="45" customHeight="1">
      <c r="A15" s="194" t="inlineStr">
        <is>
          <t>tcp</t>
        </is>
      </c>
      <c r="B15" s="194" t="n">
        <v>0</v>
      </c>
      <c r="C15" s="194" t="n">
        <v>0</v>
      </c>
      <c r="D15" s="194" t="inlineStr">
        <is>
          <t>0.0.0.0</t>
        </is>
      </c>
      <c r="E15" s="194" t="n">
        <v>179</v>
      </c>
      <c r="F15" s="194" t="inlineStr">
        <is>
          <t>0.0.0.0</t>
        </is>
      </c>
      <c r="G15" s="194" t="inlineStr">
        <is>
          <t>*</t>
        </is>
      </c>
      <c r="H15" s="194" t="inlineStr">
        <is>
          <t>LISTEN</t>
        </is>
      </c>
      <c r="I15" s="194" t="inlineStr">
        <is>
          <t>root/UID 0</t>
        </is>
      </c>
      <c r="J15" s="194" t="n">
        <v>28685</v>
      </c>
      <c r="K15" s="194" t="inlineStr">
        <is>
          <t>Missing Evidence</t>
        </is>
      </c>
      <c r="L15" s="194" t="inlineStr">
        <is>
          <t>TCP/179 listener observed on wildcard IPv4. This is consistent with BGP, but peer/session state, authentication and routing policy were not collected. Refer to the Routes sheet for the remaining routing evidence.</t>
        </is>
      </c>
    </row>
    <row r="16">
      <c r="A16" s="194" t="inlineStr">
        <is>
          <t>tcp6</t>
        </is>
      </c>
      <c r="B16" s="194" t="n">
        <v>0</v>
      </c>
      <c r="C16" s="194" t="n">
        <v>0</v>
      </c>
      <c r="D16" s="194" t="inlineStr">
        <is>
          <t>::</t>
        </is>
      </c>
      <c r="E16" s="194" t="n">
        <v>17</v>
      </c>
      <c r="F16" s="194" t="inlineStr">
        <is>
          <t>::</t>
        </is>
      </c>
      <c r="G16" s="194" t="inlineStr">
        <is>
          <t>*</t>
        </is>
      </c>
      <c r="H16" s="194" t="inlineStr">
        <is>
          <t>LISTEN</t>
        </is>
      </c>
      <c r="I16" s="194" t="inlineStr">
        <is>
          <t>root/UID 0</t>
        </is>
      </c>
      <c r="J16" s="194" t="n">
        <v>29139</v>
      </c>
      <c r="K16" s="194" t="inlineStr">
        <is>
          <t>Missing Evidence</t>
        </is>
      </c>
      <c r="L16" s="194" t="inlineStr">
        <is>
          <t>Unidentified wildcard TCP listener. Process mapping required.</t>
        </is>
      </c>
    </row>
    <row r="17">
      <c r="A17" s="194" t="inlineStr">
        <is>
          <t>udp</t>
        </is>
      </c>
      <c r="B17" s="194" t="n">
        <v>0</v>
      </c>
      <c r="C17" s="194" t="n">
        <v>0</v>
      </c>
      <c r="D17" s="194" t="inlineStr">
        <is>
          <t>0.0.0.0</t>
        </is>
      </c>
      <c r="E17" s="194" t="n">
        <v>3503</v>
      </c>
      <c r="F17" s="194" t="inlineStr">
        <is>
          <t>0.0.0.0</t>
        </is>
      </c>
      <c r="G17" s="194" t="inlineStr">
        <is>
          <t>*</t>
        </is>
      </c>
      <c r="H17" s="194" t="inlineStr">
        <is>
          <t>UNCONN</t>
        </is>
      </c>
      <c r="I17" s="194" t="inlineStr">
        <is>
          <t>root/UID 0</t>
        </is>
      </c>
      <c r="J17" s="194" t="n">
        <v>21132</v>
      </c>
      <c r="K17" s="194" t="inlineStr">
        <is>
          <t>Missing Evidence</t>
        </is>
      </c>
      <c r="L17" s="194" t="inlineStr">
        <is>
          <t>Unidentified UDP listener; process mapping required.</t>
        </is>
      </c>
    </row>
    <row r="18">
      <c r="A18" s="194" t="inlineStr">
        <is>
          <t>udp</t>
        </is>
      </c>
      <c r="B18" s="194" t="n">
        <v>0</v>
      </c>
      <c r="C18" s="194" t="n">
        <v>0</v>
      </c>
      <c r="D18" s="194" t="inlineStr">
        <is>
          <t>0.0.0.0</t>
        </is>
      </c>
      <c r="E18" s="194" t="n">
        <v>3785</v>
      </c>
      <c r="F18" s="194" t="inlineStr">
        <is>
          <t>0.0.0.0</t>
        </is>
      </c>
      <c r="G18" s="194" t="inlineStr">
        <is>
          <t>*</t>
        </is>
      </c>
      <c r="H18" s="194" t="inlineStr">
        <is>
          <t>UNCONN</t>
        </is>
      </c>
      <c r="I18" s="194" t="inlineStr">
        <is>
          <t>root/UID 0</t>
        </is>
      </c>
      <c r="J18" s="194" t="n">
        <v>21129</v>
      </c>
      <c r="K18" s="194" t="inlineStr">
        <is>
          <t>Likely BFD Echo</t>
        </is>
      </c>
      <c r="L18" s="194" t="inlineStr">
        <is>
          <t>Routing-control-plane service; confirm requirement and interface exposure.</t>
        </is>
      </c>
    </row>
    <row r="19">
      <c r="A19" s="194" t="inlineStr">
        <is>
          <t>udp6</t>
        </is>
      </c>
      <c r="B19" s="194" t="n">
        <v>0</v>
      </c>
      <c r="C19" s="194" t="n">
        <v>0</v>
      </c>
      <c r="D19" s="194" t="inlineStr">
        <is>
          <t>::</t>
        </is>
      </c>
      <c r="E19" s="194" t="n">
        <v>3785</v>
      </c>
      <c r="F19" s="194" t="inlineStr">
        <is>
          <t>::</t>
        </is>
      </c>
      <c r="G19" s="194" t="inlineStr">
        <is>
          <t>*</t>
        </is>
      </c>
      <c r="H19" s="194" t="inlineStr">
        <is>
          <t>UNCONN</t>
        </is>
      </c>
      <c r="I19" s="194" t="inlineStr">
        <is>
          <t>root/UID 0</t>
        </is>
      </c>
      <c r="J19" s="194" t="n">
        <v>21131</v>
      </c>
      <c r="K19" s="194" t="inlineStr">
        <is>
          <t>Likely BFD Echo</t>
        </is>
      </c>
      <c r="L19" s="194" t="inlineStr">
        <is>
          <t>Same review required for IPv6 exposure.</t>
        </is>
      </c>
    </row>
    <row r="20"/>
    <row r="21"/>
    <row r="22"/>
    <row r="23"/>
    <row r="24"/>
    <row r="25"/>
    <row r="26"/>
    <row r="27"/>
    <row r="28"/>
    <row r="29"/>
    <row r="30"/>
    <row r="31"/>
    <row r="32"/>
    <row r="33"/>
    <row r="34"/>
    <row r="35"/>
    <row r="36">
      <c r="A36" s="171" t="inlineStr">
        <is>
          <t>OS Firewall Rules (IPTABLES P1)</t>
        </is>
      </c>
    </row>
    <row r="37">
      <c r="A37" s="194" t="inlineStr">
        <is>
          <t>Rule Type</t>
        </is>
      </c>
      <c r="B37" s="194" t="inlineStr">
        <is>
          <t>Chain/Rule Name</t>
        </is>
      </c>
      <c r="C37" s="194" t="inlineStr">
        <is>
          <t>Specification</t>
        </is>
      </c>
      <c r="D37" s="194" t="inlineStr">
        <is>
          <t>Security Comment</t>
        </is>
      </c>
      <c r="E37" s="194" t="inlineStr">
        <is>
          <t>Owner Comments</t>
        </is>
      </c>
      <c r="F37" s="194" t="inlineStr">
        <is>
          <t>Security Reviews</t>
        </is>
      </c>
    </row>
    <row r="38"/>
    <row r="39"/>
    <row r="40"/>
    <row r="41"/>
    <row r="42"/>
    <row r="43"/>
    <row r="44"/>
    <row r="45" ht="21" customHeight="1">
      <c r="A45" s="171" t="inlineStr">
        <is>
          <t>OS Firewall Rules (IPTABLES P2)</t>
        </is>
      </c>
    </row>
    <row r="46">
      <c r="A46" s="194" t="inlineStr">
        <is>
          <t>Chain</t>
        </is>
      </c>
      <c r="B46" s="194" t="inlineStr">
        <is>
          <t>Packets</t>
        </is>
      </c>
      <c r="C46" s="194" t="inlineStr">
        <is>
          <t>Bytes</t>
        </is>
      </c>
      <c r="D46" s="194" t="inlineStr">
        <is>
          <t>Target</t>
        </is>
      </c>
      <c r="E46" s="194" t="inlineStr">
        <is>
          <t>Protocol</t>
        </is>
      </c>
      <c r="F46" s="194" t="inlineStr">
        <is>
          <t>Opt</t>
        </is>
      </c>
      <c r="G46" s="194" t="inlineStr">
        <is>
          <t>In</t>
        </is>
      </c>
      <c r="H46" s="194" t="inlineStr">
        <is>
          <t>Out</t>
        </is>
      </c>
      <c r="I46" s="194" t="inlineStr">
        <is>
          <t>Source</t>
        </is>
      </c>
      <c r="J46" s="194" t="inlineStr">
        <is>
          <t>Destination</t>
        </is>
      </c>
      <c r="K46" s="194" t="inlineStr">
        <is>
          <t>Extra</t>
        </is>
      </c>
      <c r="L46" s="194" t="inlineStr">
        <is>
          <t>Security Comment</t>
        </is>
      </c>
      <c r="M46" s="194" t="inlineStr">
        <is>
          <t>Owner Comments</t>
        </is>
      </c>
      <c r="N46" s="194" t="inlineStr">
        <is>
          <t>Security Reviews</t>
        </is>
      </c>
    </row>
    <row r="47"/>
    <row r="48"/>
    <row r="49"/>
    <row r="50"/>
    <row r="51"/>
    <row r="52"/>
    <row r="53"/>
    <row r="54">
      <c r="A54" s="172" t="inlineStr">
        <is>
          <t>ARP</t>
        </is>
      </c>
    </row>
    <row r="55">
      <c r="A55" s="99" t="inlineStr">
        <is>
          <t>Interface</t>
        </is>
      </c>
      <c r="B55" s="99" t="inlineStr">
        <is>
          <t>Source Name</t>
        </is>
      </c>
      <c r="C55" s="99" t="inlineStr">
        <is>
          <t>Neighbor IP</t>
        </is>
      </c>
      <c r="D55" s="99" t="inlineStr">
        <is>
          <t>Destination MAC</t>
        </is>
      </c>
      <c r="E55" s="99" t="inlineStr">
        <is>
          <t>State</t>
        </is>
      </c>
      <c r="F55" s="99" t="inlineStr">
        <is>
          <t>Security Comment</t>
        </is>
      </c>
      <c r="G55" s="99" t="inlineStr">
        <is>
          <t>Owner Comments</t>
        </is>
      </c>
      <c r="H55" s="99" t="inlineStr">
        <is>
          <t>Security Reviews</t>
        </is>
      </c>
    </row>
    <row r="56" ht="15" customHeight="1">
      <c r="A56" s="29" t="n"/>
      <c r="B56" s="29" t="n"/>
      <c r="C56" s="29" t="n"/>
      <c r="D56" s="29" t="n"/>
      <c r="E56" s="29" t="n"/>
      <c r="F56" s="69" t="n"/>
      <c r="G56" s="29" t="n"/>
      <c r="H56" s="29" t="n"/>
    </row>
    <row r="57">
      <c r="A57" s="29" t="n"/>
      <c r="B57" s="29" t="n"/>
      <c r="C57" s="29" t="n"/>
      <c r="D57" s="29" t="n"/>
      <c r="E57" s="29" t="n"/>
      <c r="F57" s="69" t="n"/>
      <c r="G57" s="29" t="n"/>
      <c r="H57" s="29" t="n"/>
    </row>
    <row r="58">
      <c r="A58" s="29" t="n"/>
      <c r="B58" s="29" t="n"/>
      <c r="D58" s="29" t="n"/>
      <c r="E58" s="29" t="n"/>
      <c r="F58" s="69" t="n"/>
      <c r="G58" s="29" t="n"/>
      <c r="H58" s="29" t="n"/>
    </row>
    <row r="59">
      <c r="A59" s="29" t="n"/>
      <c r="B59" s="29" t="n"/>
      <c r="C59" s="29" t="n"/>
      <c r="D59" s="29" t="n"/>
      <c r="E59" s="29" t="n"/>
      <c r="F59" s="69" t="n"/>
      <c r="G59" s="29" t="n"/>
      <c r="H59" s="29" t="n"/>
    </row>
    <row r="60"/>
    <row r="61">
      <c r="C61" s="29" t="n"/>
    </row>
  </sheetData>
  <mergeCells count="5">
    <mergeCell ref="A36:F36"/>
    <mergeCell ref="A54:H54"/>
    <mergeCell ref="A45:N45"/>
    <mergeCell ref="A13:N13"/>
    <mergeCell ref="A1:N1"/>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5.xml><?xml version="1.0" encoding="utf-8"?>
<worksheet xmlns="http://schemas.openxmlformats.org/spreadsheetml/2006/main">
  <sheetPr>
    <outlinePr summaryBelow="1" summaryRight="1"/>
    <pageSetUpPr/>
  </sheetPr>
  <dimension ref="A1:M21"/>
  <sheetViews>
    <sheetView workbookViewId="0">
      <selection activeCell="A7" sqref="A7:B9"/>
    </sheetView>
  </sheetViews>
  <sheetFormatPr baseColWidth="8" defaultRowHeight="15"/>
  <cols>
    <col width="29" customWidth="1" min="1" max="2"/>
    <col width="17.85546875" customWidth="1" min="3" max="3"/>
  </cols>
  <sheetData>
    <row r="1" ht="30" customHeight="1" thickBot="1" thickTop="1">
      <c r="A1" s="173" t="inlineStr">
        <is>
          <t>Vulnerabilities</t>
        </is>
      </c>
      <c r="B1" s="199" t="n"/>
      <c r="C1" s="1" t="n"/>
    </row>
    <row r="2" ht="16.5" customHeight="1" thickBot="1" thickTop="1">
      <c r="A2" s="72" t="inlineStr">
        <is>
          <t>Critical</t>
        </is>
      </c>
      <c r="B2" s="174">
        <f>COUNTIF(Vulnerabilities!C$1:C$1048431,"=Critical")</f>
        <v/>
      </c>
      <c r="C2" s="1" t="n"/>
    </row>
    <row r="3" ht="16.5" customHeight="1" thickBot="1" thickTop="1">
      <c r="A3" s="73" t="inlineStr">
        <is>
          <t>High</t>
        </is>
      </c>
      <c r="B3" s="174">
        <f>COUNTIF(Vulnerabilities!C$1:C$1048431,"=High")</f>
        <v/>
      </c>
      <c r="C3" s="1" t="n"/>
    </row>
    <row r="4" ht="16.5" customHeight="1" thickBot="1" thickTop="1">
      <c r="A4" s="74" t="inlineStr">
        <is>
          <t>Medium</t>
        </is>
      </c>
      <c r="B4" s="174">
        <f>COUNTIF(Vulnerabilities!C$1:C$1048431,"=Medium")</f>
        <v/>
      </c>
      <c r="C4" s="1" t="n"/>
    </row>
    <row r="5" ht="16.5" customHeight="1" thickBot="1" thickTop="1">
      <c r="A5" s="75" t="inlineStr">
        <is>
          <t>Low</t>
        </is>
      </c>
      <c r="B5" s="174">
        <f>COUNTIF(Vulnerabilities!C$1:C$1048431,"=Low")</f>
        <v/>
      </c>
      <c r="C5" s="1" t="n"/>
    </row>
    <row r="6" ht="16.5" customHeight="1" thickBot="1" thickTop="1">
      <c r="A6" s="173" t="inlineStr">
        <is>
          <t>Assessed Threat Level</t>
        </is>
      </c>
      <c r="B6" s="72" t="inlineStr">
        <is>
          <t>Critical</t>
        </is>
      </c>
      <c r="C6" s="1" t="n"/>
    </row>
    <row r="7" ht="21.75" customHeight="1" thickTop="1">
      <c r="A7" s="200" t="n"/>
      <c r="B7" s="201" t="n"/>
      <c r="C7" s="3" t="n"/>
    </row>
    <row r="8" ht="21.75" customHeight="1">
      <c r="A8" s="202" t="n"/>
      <c r="B8" s="203" t="n"/>
      <c r="C8" s="3" t="n"/>
    </row>
    <row r="9" ht="21.75" customHeight="1" thickBot="1">
      <c r="A9" s="204" t="n"/>
      <c r="B9" s="205" t="n"/>
      <c r="C9" s="3" t="n"/>
    </row>
    <row r="10" ht="16.5" customHeight="1" thickBot="1" thickTop="1">
      <c r="C10" s="3" t="n"/>
    </row>
    <row r="11" ht="16.5" customHeight="1" thickBot="1" thickTop="1">
      <c r="A11" s="173" t="inlineStr">
        <is>
          <t>Compliance</t>
        </is>
      </c>
      <c r="B11" s="173" t="n"/>
      <c r="C11" s="3" t="n"/>
    </row>
    <row r="12" ht="16.5" customHeight="1" thickBot="1" thickTop="1">
      <c r="A12" s="73" t="inlineStr">
        <is>
          <t>Failed</t>
        </is>
      </c>
      <c r="B12" s="173">
        <f>Compliance!C9</f>
        <v/>
      </c>
      <c r="C12" s="3" t="n"/>
    </row>
    <row r="13" ht="16.5" customHeight="1" thickBot="1" thickTop="1">
      <c r="A13" s="76" t="inlineStr">
        <is>
          <t>Passed</t>
        </is>
      </c>
      <c r="B13" s="173">
        <f>Compliance!B9</f>
        <v/>
      </c>
      <c r="C13" s="3" t="n"/>
    </row>
    <row r="14" ht="16.5" customHeight="1" thickBot="1" thickTop="1">
      <c r="A14" s="77" t="inlineStr">
        <is>
          <t>N/A</t>
        </is>
      </c>
      <c r="B14" s="173">
        <f>Compliance!D9</f>
        <v/>
      </c>
      <c r="C14" s="3" t="n"/>
    </row>
    <row r="15" ht="16.5" customHeight="1" thickBot="1" thickTop="1">
      <c r="A15" s="78" t="inlineStr">
        <is>
          <t>Missing Evidence</t>
        </is>
      </c>
      <c r="B15" s="173">
        <f>Compliance!E9</f>
        <v/>
      </c>
      <c r="C15" s="3" t="n"/>
    </row>
    <row r="16" ht="16.5" customHeight="1" thickBot="1" thickTop="1">
      <c r="A16" s="79" t="inlineStr">
        <is>
          <t>Manual Review</t>
        </is>
      </c>
      <c r="B16" s="173">
        <f>Compliance!F9</f>
        <v/>
      </c>
      <c r="C16" s="3" t="n"/>
    </row>
    <row r="17" ht="16.5" customHeight="1" thickBot="1" thickTop="1">
      <c r="A17" s="80" t="inlineStr">
        <is>
          <t>Inprogress</t>
        </is>
      </c>
      <c r="B17" s="173">
        <f>Compliance!G9</f>
        <v/>
      </c>
    </row>
    <row r="18" ht="15.75" customHeight="1" thickTop="1"/>
    <row r="19"/>
    <row r="20"/>
    <row r="21">
      <c r="M21" s="81" t="n"/>
    </row>
  </sheetData>
  <mergeCells count="2">
    <mergeCell ref="A7:B9"/>
    <mergeCell ref="A1:B1"/>
  </mergeCell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V10"/>
  <sheetViews>
    <sheetView zoomScaleNormal="100" workbookViewId="0">
      <selection activeCell="B2" sqref="B2"/>
    </sheetView>
  </sheetViews>
  <sheetFormatPr baseColWidth="8" defaultColWidth="8.85546875" defaultRowHeight="15"/>
  <cols>
    <col width="11" customWidth="1" style="23" min="1" max="1"/>
    <col width="56.28515625" bestFit="1" customWidth="1" style="2" min="2" max="2"/>
    <col width="12.28515625" bestFit="1" customWidth="1" style="194" min="3" max="3"/>
    <col width="82.140625" bestFit="1" customWidth="1" style="2" min="4" max="4"/>
    <col width="163.85546875" bestFit="1" customWidth="1" style="2" min="5" max="5"/>
    <col width="76.5703125" bestFit="1" customWidth="1" style="2" min="6" max="6"/>
    <col width="11.42578125" bestFit="1" customWidth="1" style="23" min="7" max="7"/>
    <col width="45.85546875" bestFit="1" customWidth="1" style="23" min="8" max="8"/>
    <col width="12.85546875" bestFit="1" customWidth="1" style="23" min="9" max="9"/>
    <col width="13.28515625" bestFit="1" customWidth="1" style="23" min="10" max="10"/>
    <col width="59.28515625" bestFit="1" customWidth="1" style="23" min="11" max="11"/>
    <col width="24.140625" bestFit="1" customWidth="1" style="23" min="12" max="12"/>
    <col width="54.85546875" bestFit="1" customWidth="1" style="23" min="13" max="13"/>
    <col width="17.5703125" bestFit="1" customWidth="1" style="23" min="14" max="14"/>
    <col width="16.7109375" customWidth="1" style="23" min="15" max="15"/>
    <col width="18.42578125" bestFit="1" customWidth="1" style="23" min="16" max="16"/>
    <col width="17.28515625" bestFit="1" customWidth="1" style="23" min="17" max="17"/>
    <col width="16.140625" bestFit="1" customWidth="1" style="23" min="18" max="18"/>
    <col width="39" customWidth="1" style="1" min="19" max="22"/>
    <col width="8.85546875" customWidth="1" style="1" min="23" max="16384"/>
  </cols>
  <sheetData>
    <row r="1">
      <c r="A1" s="157" t="inlineStr">
        <is>
          <t>NUM</t>
        </is>
      </c>
      <c r="B1" s="158" t="inlineStr">
        <is>
          <t>CVE</t>
        </is>
      </c>
      <c r="C1" s="159" t="inlineStr">
        <is>
          <t>Risk Severity</t>
        </is>
      </c>
      <c r="D1" s="158" t="inlineStr">
        <is>
          <t>Name</t>
        </is>
      </c>
      <c r="E1" s="158" t="inlineStr">
        <is>
          <t>Description</t>
        </is>
      </c>
      <c r="F1" s="158" t="inlineStr">
        <is>
          <t>Solution</t>
        </is>
      </c>
      <c r="G1" s="158" t="inlineStr">
        <is>
          <t>Component</t>
        </is>
      </c>
      <c r="H1" s="158" t="inlineStr">
        <is>
          <t>Installed version</t>
        </is>
      </c>
      <c r="I1" s="158" t="inlineStr">
        <is>
          <t>Fixed version</t>
        </is>
      </c>
      <c r="J1" s="158" t="inlineStr">
        <is>
          <t xml:space="preserve">Missing patch </t>
        </is>
      </c>
      <c r="K1" s="158" t="inlineStr">
        <is>
          <t>Path</t>
        </is>
      </c>
      <c r="L1" s="158" t="inlineStr">
        <is>
          <t>Remote package installed</t>
        </is>
      </c>
      <c r="M1" s="158" t="inlineStr">
        <is>
          <t>Should be</t>
        </is>
      </c>
      <c r="N1" s="158" t="inlineStr">
        <is>
          <t>Third-Party Advice</t>
        </is>
      </c>
      <c r="O1" s="158" t="inlineStr">
        <is>
          <t>Advice Type</t>
        </is>
      </c>
      <c r="P1" s="158" t="inlineStr">
        <is>
          <t>Security Comments</t>
        </is>
      </c>
      <c r="Q1" s="158" t="inlineStr">
        <is>
          <t>Owner Comments</t>
        </is>
      </c>
      <c r="R1" s="158" t="inlineStr">
        <is>
          <t>Security Reviews</t>
        </is>
      </c>
      <c r="S1" s="160" t="inlineStr">
        <is>
          <t>Audit 1</t>
        </is>
      </c>
      <c r="T1" s="159" t="inlineStr">
        <is>
          <t>Security Reviews2</t>
        </is>
      </c>
      <c r="U1" s="160" t="inlineStr">
        <is>
          <t>Audit 2</t>
        </is>
      </c>
      <c r="V1" s="161" t="inlineStr">
        <is>
          <t>Security Reviews3</t>
        </is>
      </c>
    </row>
    <row r="2" ht="120" customHeight="1">
      <c r="A2" s="21" t="n">
        <v>1</v>
      </c>
      <c r="B2" s="19" t="inlineStr">
        <is>
          <t>CVE-2023-38545</t>
        </is>
      </c>
      <c r="C2" s="105" t="inlineStr">
        <is>
          <t>Critical</t>
        </is>
      </c>
      <c r="D2" s="19" t="inlineStr">
        <is>
          <t>libcurl 7.69 &lt; 8.4.0 Heap Buffer Overflow</t>
        </is>
      </c>
      <c r="E2" s="19" t="inlineStr">
        <is>
          <t>The version of libcurl installed on the remote host is affected by a heap based buffer overflow in the SOCKS5 proxy handshake.
When curl is asked to pass along the hostname to the SOCKS5 proxy to allow that to resolve the address instead of it getting done by curl itself, the maximum length that hostname can be is 255 bytes.
If the hostname is detected to be longer than 255 bytes, curl switches to local name resolving and instead passes on the resolved address only to the proxy. Due to a bug, the local variable that means 'let the host resolve the name'
could get the wrong value during a slow SOCKS5 handshake, and contrary to the intention, copy the too long hostname to the target buffer instead of copying just the resolved address there.
Note that Nessus has not tested for this issue but has instead relied only on the application's self-reported version number.</t>
        </is>
      </c>
      <c r="F2" s="19" t="inlineStr">
        <is>
          <t>Upgrade libcurl to version 8.4.0 or later</t>
        </is>
      </c>
      <c r="G2" s="19" t="n"/>
      <c r="H2" s="19" t="inlineStr">
        <is>
          <t>7.80.0.0</t>
        </is>
      </c>
      <c r="I2" s="19" t="inlineStr">
        <is>
          <t>8.4.0</t>
        </is>
      </c>
      <c r="J2" s="19" t="n"/>
      <c r="K2" s="19" t="inlineStr">
        <is>
          <t>c:\program files\sf\edr\agent\bin\libcurl.dll</t>
        </is>
      </c>
      <c r="L2" s="19" t="n"/>
      <c r="M2" s="19" t="n"/>
      <c r="N2" s="24" t="n"/>
      <c r="O2" s="24" t="n"/>
      <c r="P2" s="24" t="n"/>
      <c r="Q2" s="24" t="n"/>
      <c r="R2" s="24" t="n"/>
      <c r="S2" s="15" t="n"/>
      <c r="T2" s="15" t="n"/>
      <c r="U2" s="15" t="n"/>
      <c r="V2" s="15" t="n"/>
    </row>
    <row r="3" ht="45" customHeight="1">
      <c r="A3" s="21" t="n">
        <v>2</v>
      </c>
      <c r="B3" s="19" t="inlineStr">
        <is>
          <t>CVE-2024-38081</t>
        </is>
      </c>
      <c r="C3" s="106" t="inlineStr">
        <is>
          <t>High</t>
        </is>
      </c>
      <c r="D3" s="19" t="inlineStr">
        <is>
          <t>Security Update for Microsoft .NET Core (July 2024)</t>
        </is>
      </c>
      <c r="E3" s="19" t="inlineStr">
        <is>
          <t>The version of tested product installed on the remote host is prior to tested version. It is, therefore, affected by a vulnerability as referenced in the vendor advisory.
- .NET, .NET Framework, and Visual Studio Elevation of Privilege Vulnerability (CVE-2024-38081)
Note that Nessus has not tested for these issues but has instead relied only on the application's self-reported version number.</t>
        </is>
      </c>
      <c r="F3" s="19" t="inlineStr">
        <is>
          <t>Update .NET Core, remove vulnerable packages and refer to vendor advisory.</t>
        </is>
      </c>
      <c r="G3" s="19" t="n"/>
      <c r="H3" s="19" t="inlineStr">
        <is>
          <t>6.0.31.33720</t>
        </is>
      </c>
      <c r="I3" s="19" t="inlineStr">
        <is>
          <t>6.0.32</t>
        </is>
      </c>
      <c r="J3" s="19" t="n"/>
      <c r="K3" s="19" t="inlineStr">
        <is>
          <t>C:\Program Files\dotnet\shared\Microsoft.NetCore.App\6.0.31\</t>
        </is>
      </c>
      <c r="L3" s="19" t="n"/>
      <c r="M3" s="19" t="n"/>
      <c r="N3" s="24" t="n"/>
      <c r="O3" s="24" t="n"/>
      <c r="P3" s="24" t="n"/>
      <c r="Q3" s="24" t="n"/>
      <c r="R3" s="24" t="n"/>
      <c r="S3" s="15" t="n"/>
      <c r="T3" s="15" t="n"/>
      <c r="U3" s="15" t="n"/>
      <c r="V3" s="15" t="n"/>
    </row>
    <row r="4" ht="60" customHeight="1">
      <c r="A4" s="21" t="n">
        <v>3</v>
      </c>
      <c r="B4" s="19" t="inlineStr">
        <is>
          <t>CVE-2024-38229,CVE-2024-43483,CVE-2024-43484,CVE-2024-43485</t>
        </is>
      </c>
      <c r="C4" s="106" t="inlineStr">
        <is>
          <t>High</t>
        </is>
      </c>
      <c r="D4" s="19" t="inlineStr">
        <is>
          <t>Security Update for Microsoft .NET Core (October 2024)</t>
        </is>
      </c>
      <c r="E4" s="19" t="inlineStr">
        <is>
          <t>The version of tested product installed on the remote host is prior to tested version. It is, therefore, affected by multiple vulnerabilities as referenced in the vendor advisory.
- .NET and Visual Studio Remote Code Execution Vulnerability (CVE-2024-38229)
- .NET and Visual Studio Denial of Service Vulnerability (CVE-2024-43483,CVE-2024-43484,CVE-2024-43485)
Note that Nessus has not tested for these issues but has instead relied only on the application's self-reported version number.</t>
        </is>
      </c>
      <c r="F4" s="19" t="inlineStr">
        <is>
          <t>Update .NET Core, remove vulnerable packages and refer to vendor advisory.</t>
        </is>
      </c>
      <c r="G4" s="19" t="n"/>
      <c r="H4" s="19" t="inlineStr">
        <is>
          <t>6.0.31.33720</t>
        </is>
      </c>
      <c r="I4" s="19" t="inlineStr">
        <is>
          <t>6.0.35</t>
        </is>
      </c>
      <c r="J4" s="19" t="n"/>
      <c r="K4" s="19" t="inlineStr">
        <is>
          <t>C:\Program Files\dotnet\shared\Microsoft.NetCore.App\6.0.31\</t>
        </is>
      </c>
      <c r="L4" s="19" t="n"/>
      <c r="M4" s="19" t="n"/>
      <c r="N4" s="24" t="n"/>
      <c r="O4" s="24" t="n"/>
      <c r="P4" s="24" t="n"/>
      <c r="Q4" s="24" t="n"/>
      <c r="R4" s="24" t="n"/>
      <c r="S4" s="15" t="n"/>
      <c r="T4" s="15" t="n"/>
      <c r="U4" s="15" t="n"/>
      <c r="V4" s="15" t="n"/>
    </row>
    <row r="5" ht="60" customHeight="1">
      <c r="A5" s="21" t="n">
        <v>4</v>
      </c>
      <c r="B5" s="19" t="inlineStr">
        <is>
          <t>CVE-2025-22230</t>
        </is>
      </c>
      <c r="C5" s="106" t="inlineStr">
        <is>
          <t>High</t>
        </is>
      </c>
      <c r="D5" s="19" t="inlineStr">
        <is>
          <t>VMware Tools 11.x / 12.x &lt; 12.5.1 Authentication Bypass (VMSA-2025-0005)</t>
        </is>
      </c>
      <c r="E5" s="19" t="inlineStr">
        <is>
          <t>The version of VMware Tools installed on the remote Windows host is 11.x or 12.x prior to 12.5.1. It is, therefore, affected by an authentication bypass vulnerability:
- VMware Tools for Windows contains an authentication bypass vulnerability due to improper access control. A malicious actor with non-administrative privileges on a guest VM may gain ability to perform certain high privilege operations within that VM. (CVE-2025-22230)
Note that Nessus has not tested for this issue but has instead relied only on the application's self-reported version number.</t>
        </is>
      </c>
      <c r="F5" s="19" t="inlineStr">
        <is>
          <t>Upgrade to VMware Tools version 12.5.1 or later.</t>
        </is>
      </c>
      <c r="G5" s="19" t="n"/>
      <c r="H5" s="19" t="inlineStr">
        <is>
          <t>12.4.0.48309</t>
        </is>
      </c>
      <c r="I5" s="19" t="inlineStr">
        <is>
          <t>12.5.1</t>
        </is>
      </c>
      <c r="J5" s="19" t="n"/>
      <c r="K5" s="19" t="inlineStr">
        <is>
          <t>C:\Program Files\VMware\VMware Tools\</t>
        </is>
      </c>
      <c r="L5" s="19" t="n"/>
      <c r="M5" s="19" t="n"/>
      <c r="N5" s="24" t="n"/>
      <c r="O5" s="24" t="n"/>
      <c r="P5" s="24" t="n"/>
      <c r="Q5" s="24" t="n"/>
      <c r="R5" s="24" t="n"/>
      <c r="S5" s="15" t="n"/>
      <c r="T5" s="15" t="n"/>
      <c r="U5" s="15" t="n"/>
      <c r="V5" s="15" t="n"/>
    </row>
    <row r="6" ht="60" customHeight="1">
      <c r="A6" s="21" t="n">
        <v>5</v>
      </c>
      <c r="B6" s="19" t="inlineStr">
        <is>
          <t>CVE-2025-22247</t>
        </is>
      </c>
      <c r="C6" s="107" t="inlineStr">
        <is>
          <t>Medium</t>
        </is>
      </c>
      <c r="D6" s="19" t="inlineStr">
        <is>
          <t>VMware Tools 11.x / 12.x &lt; 12.5.2 Insecure File Handling (VMSA-2025-0007)</t>
        </is>
      </c>
      <c r="E6" s="19" t="inlineStr">
        <is>
          <t>The version of VMware Tools installed on the remote host is 11.x or 12.x prior to 12.5.2. It is, therefore, affected by an insecure file handling vulnerability:
- VMware Tools contains an insecure file handling vulnerability. A malicious actor with non-administrative privileges on a guest VM may tamper the local files to trigger insecure file operations within that VM. (CVE-2025-22247)
Note that Nessus has not tested for this issue but has instead relied only on the application's self-reported version number.</t>
        </is>
      </c>
      <c r="F6" s="19" t="inlineStr">
        <is>
          <t>Upgrade to VMware Tools version 12.5.2 or later.</t>
        </is>
      </c>
      <c r="G6" s="19" t="n"/>
      <c r="H6" s="19" t="inlineStr">
        <is>
          <t>12.4.0.48309</t>
        </is>
      </c>
      <c r="I6" s="19" t="inlineStr">
        <is>
          <t>12.5.2</t>
        </is>
      </c>
      <c r="J6" s="19" t="n"/>
      <c r="K6" s="19" t="inlineStr">
        <is>
          <t>C:\Program Files\VMware\VMware Tools\</t>
        </is>
      </c>
      <c r="L6" s="19" t="n"/>
      <c r="M6" s="19" t="n"/>
      <c r="N6" s="24" t="n"/>
      <c r="O6" s="24" t="n"/>
      <c r="P6" s="24" t="n"/>
      <c r="Q6" s="24" t="n"/>
      <c r="R6" s="24" t="n"/>
      <c r="S6" s="15" t="n"/>
      <c r="T6" s="15" t="n"/>
      <c r="U6" s="15" t="n"/>
      <c r="V6" s="15" t="n"/>
    </row>
    <row r="7" ht="60" customHeight="1">
      <c r="A7" s="21" t="n">
        <v>6</v>
      </c>
      <c r="B7" s="19" t="inlineStr">
        <is>
          <t>CVE-2013-3900</t>
        </is>
      </c>
      <c r="C7" s="107" t="inlineStr">
        <is>
          <t>Medium</t>
        </is>
      </c>
      <c r="D7" s="19" t="inlineStr">
        <is>
          <t>WinVerifyTrust Signature Validation CVE-2013-3900 Mitigation (EnableCertPaddingCheck)</t>
        </is>
      </c>
      <c r="E7" s="19" t="inlineStr">
        <is>
          <t>The remote system may be in a vulnerable state to CVE-2013-3900 due to a missing or misconfigured registry keys:
- HKEY_LOCAL_MACHINE\Software\Microsoft\Cryptography\Wintrust\Config\EnableCertPaddingCheck
- HKEY_LOCAL_MACHINE\Software\Wow6432Node\Microsoft\Cryptography\Wintrust\Config\EnableCertPaddingCheck An unauthenticated, remote attacker could exploit this, by sending specially crafted requests, to execute arbitrary code on an affected host.</t>
        </is>
      </c>
      <c r="F7" s="19" t="inlineStr">
        <is>
          <t>Add and enable registry value EnableCertPaddingCheck:</t>
        </is>
      </c>
      <c r="G7" s="19" t="n"/>
      <c r="H7" s="19" t="n"/>
      <c r="I7" s="19" t="n"/>
      <c r="J7" s="19" t="n"/>
      <c r="K7" s="19" t="n"/>
      <c r="L7" s="19" t="n"/>
      <c r="M7" s="19" t="n"/>
      <c r="N7" s="24" t="n"/>
      <c r="O7" s="24" t="n"/>
      <c r="P7" s="24" t="n"/>
      <c r="Q7" s="24" t="n"/>
      <c r="R7" s="24" t="n"/>
      <c r="S7" s="15" t="n"/>
      <c r="T7" s="15" t="n"/>
      <c r="U7" s="15" t="n"/>
      <c r="V7" s="15" t="n"/>
    </row>
    <row r="8" ht="195" customHeight="1">
      <c r="A8" s="21" t="n">
        <v>7</v>
      </c>
      <c r="B8" s="19" t="inlineStr">
        <is>
          <t>CVE-2017-5715,CVE-2017-5753,CVE-2017-5754,CVE-2018-11091,CVE-2018-12126,CVE-2018-12127,CVE-2018-12130,CVE-2018-3615,CVE-2018-3620,CVE-2018-3639,CVE-2018-3640,CVE-2018-3646,CVE-2019-11091,CVE-2019-11135,CVE-2022-0001</t>
        </is>
      </c>
      <c r="C8" s="107" t="inlineStr">
        <is>
          <t>Medium</t>
        </is>
      </c>
      <c r="D8" s="19" t="inlineStr">
        <is>
          <t>Windows Speculative Execution Configuration Check</t>
        </is>
      </c>
      <c r="E8" s="19" t="inlineStr">
        <is>
          <t>The remote host has not properly mitigated a series of known speculative execution vulnerabilities. It, therefore, may be affected by :
- Branch Target Injection (BTI) (CVE-2017-5715)
- Bounds Check Bypass (BCB) (CVE-2017-5753)
- Rogue Data Cache Load (RDCL) (CVE-2017-5754)
- Rogue System Register Read (RSRE) (CVE-2018-3640)
- Speculative Store Bypass (SSB) (CVE-2018-3639)
- L1 Terminal Fault (L1TF) (CVE-2018-3615, CVE-2018-3620, CVE-2018-3646)
- Microarchitectural Data Sampling Uncacheable Memory (MDSUM) (CVE-2019-11091)
- Microarchitectural Store Buffer Data Sampling (MSBDS) (CVE-2018-12126)
- Microarchitectural Load Port Data Sampling (MLPDS) (CVE-2018-12127)
- Microarchitectural Fill Buffer Data Sampling (MFBDS) (CVE-2018-12130)
- TSX Asynchronous Abort (TAA) (CVE-2019-11135)
- Intel Branch History Injection (BHI) (CVE-2022-0001)</t>
        </is>
      </c>
      <c r="F8" s="19" t="inlineStr">
        <is>
          <t>Apply vendor recommended settings.</t>
        </is>
      </c>
      <c r="G8" s="19" t="n"/>
      <c r="H8" s="19" t="n"/>
      <c r="I8" s="19" t="n"/>
      <c r="J8" s="19" t="n"/>
      <c r="K8" s="19" t="n"/>
      <c r="L8" s="19" t="n"/>
      <c r="M8" s="19" t="n"/>
      <c r="N8" s="24" t="n"/>
      <c r="O8" s="24" t="n"/>
      <c r="P8" s="24" t="n"/>
      <c r="Q8" s="24" t="n"/>
      <c r="R8" s="24" t="n"/>
      <c r="S8" s="15" t="n"/>
      <c r="T8" s="15" t="n"/>
      <c r="U8" s="15" t="n"/>
      <c r="V8" s="15" t="n"/>
    </row>
    <row r="9" ht="75" customHeight="1">
      <c r="A9" s="21" t="n">
        <v>8</v>
      </c>
      <c r="B9" s="19" t="inlineStr">
        <is>
          <t>CVE-2024-7264</t>
        </is>
      </c>
      <c r="C9" s="107" t="inlineStr">
        <is>
          <t>Medium</t>
        </is>
      </c>
      <c r="D9" s="19" t="inlineStr">
        <is>
          <t>libcurl 7.32.0 &lt; 8.9.1 DoS (CVE-2024-7264)</t>
        </is>
      </c>
      <c r="E9" s="19" t="inlineStr">
        <is>
          <t>The version of libcurl installed on the remote host is between 7.32.0 and prior to 8.9.1. It is, therefore, affected by a denial of service (DoS) vulnerability. libcurl's ASN1 parser code has the GTime2str() function, used for parsing an ASN.1 Generalized Time field. If given an syntactically incorrect field, the parser might end up using -1 for the length of the time fraction, leading to a strlen() getting performed on a pointer to a heap buffer area that is not (purposely) null terminated. This flaw most likely leads to a crash, but can also lead to heap contents getting returned to the application when CURLINFO_CERTINFO is used.
Note that Nessus has not tested for this issue but has instead relied only on the application's self-reported version number.</t>
        </is>
      </c>
      <c r="F9" s="19" t="inlineStr">
        <is>
          <t>Upgrade Curl to version 8.9.1 or later</t>
        </is>
      </c>
      <c r="G9" s="19" t="n"/>
      <c r="H9" s="19" t="inlineStr">
        <is>
          <t>7.80.0.0</t>
        </is>
      </c>
      <c r="I9" s="19" t="inlineStr">
        <is>
          <t>8.9.1</t>
        </is>
      </c>
      <c r="J9" s="19" t="n"/>
      <c r="K9" s="19" t="inlineStr">
        <is>
          <t>c:\program files\sf\edr\agent\bin\libcurl.dll</t>
        </is>
      </c>
      <c r="L9" s="19" t="n"/>
      <c r="M9" s="19" t="n"/>
      <c r="N9" s="24" t="n"/>
      <c r="O9" s="24" t="n"/>
      <c r="P9" s="24" t="n"/>
      <c r="Q9" s="24" t="n"/>
      <c r="R9" s="24" t="n"/>
      <c r="S9" s="15" t="n"/>
      <c r="T9" s="15" t="n"/>
      <c r="U9" s="15" t="n"/>
      <c r="V9" s="15" t="n"/>
    </row>
    <row r="10" ht="135" customHeight="1">
      <c r="A10" s="21" t="n">
        <v>9</v>
      </c>
      <c r="B10" s="19" t="inlineStr">
        <is>
          <t>CVE-2023-38546</t>
        </is>
      </c>
      <c r="C10" s="108" t="inlineStr">
        <is>
          <t>Low</t>
        </is>
      </c>
      <c r="D10" s="19" t="inlineStr">
        <is>
          <t>libcurl 7.9.1 &lt; 8.4.0 Cookie Injection</t>
        </is>
      </c>
      <c r="E10" s="19" t="inlineStr">
        <is>
          <t>The version of libcurl installed on the remote host is affected by a cookie injection vulnerability. This flaw allows an attacker to insert cookies at will into a running program using libcurl, if the specific series of conditions are met.
libcurl performs transfers. In its API, an application creates 'easy handles' that are the individual handles for single transfers.
libcurl provides a function call that duplicates an easy handle called curl_easy_duphandle.
If a transfer has cookies enabled when the handle is duplicated, the cookie-enable state is also cloned - but without cloning the actual cookies. If the source handle did not read any cookies from a specific file on disk, the cloned version of the handle would instead store the file name as none (using the four ASCII letters, no quotes).
Subsequent use of the cloned handle that does not explicitly set a source to load cookies from would then inadvertently load cookies from a file named none - if such a file exists and is readable in the current directory of the program using libcurl. And if using the correct file format of course.
Note that Nessus has not tested for this issue but has instead relied only on the application's self-reported version number.</t>
        </is>
      </c>
      <c r="F10" s="19" t="inlineStr">
        <is>
          <t>Upgrade libcurl to version 8.4.0 or later</t>
        </is>
      </c>
      <c r="G10" s="19" t="n"/>
      <c r="H10" s="19" t="inlineStr">
        <is>
          <t>7.80.0.0</t>
        </is>
      </c>
      <c r="I10" s="19" t="inlineStr">
        <is>
          <t>8.4.0</t>
        </is>
      </c>
      <c r="J10" s="19" t="n"/>
      <c r="K10" s="19" t="inlineStr">
        <is>
          <t>c:\program files\sf\edr\agent\bin\libcurl.dll</t>
        </is>
      </c>
      <c r="L10" s="19" t="n"/>
      <c r="M10" s="19" t="n"/>
      <c r="N10" s="24" t="n"/>
      <c r="O10" s="24" t="n"/>
      <c r="P10" s="24" t="n"/>
      <c r="Q10" s="24" t="n"/>
      <c r="R10" s="24" t="n"/>
      <c r="S10" s="15" t="n"/>
      <c r="T10" s="15" t="n"/>
      <c r="U10" s="15" t="n"/>
      <c r="V10" s="15" t="n"/>
    </row>
  </sheetData>
  <conditionalFormatting sqref="C2:C10 C20:C785">
    <cfRule type="containsText" priority="1" operator="containsText" dxfId="9" text="Low">
      <formula>NOT(ISERROR(SEARCH("Low",C2)))</formula>
    </cfRule>
    <cfRule type="containsText" priority="2" operator="containsText" dxfId="8" text="Medium">
      <formula>NOT(ISERROR(SEARCH("Medium",C2)))</formula>
    </cfRule>
    <cfRule type="containsText" priority="3" operator="containsText" dxfId="7" text="Critical">
      <formula>NOT(ISERROR(SEARCH("Critical",C2)))</formula>
    </cfRule>
    <cfRule type="containsText" priority="4" operator="containsText" dxfId="4" text="High">
      <formula>NOT(ISERROR(SEARCH("High",C2)))</formula>
    </cfRule>
  </conditionalFormatting>
  <pageMargins left="0.7" right="0.7" top="0.75" bottom="0.75" header="0.3" footer="0.3"/>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341"/>
  <sheetViews>
    <sheetView zoomScale="70" zoomScaleNormal="70" workbookViewId="0">
      <pane ySplit="1" topLeftCell="A2" activePane="bottomLeft" state="frozen"/>
      <selection activeCell="B1" sqref="B1"/>
      <selection pane="bottomLeft" activeCell="E33" sqref="A24:XFD335"/>
    </sheetView>
  </sheetViews>
  <sheetFormatPr baseColWidth="8" defaultColWidth="8.7109375" defaultRowHeight="15"/>
  <cols>
    <col width="10.85546875" bestFit="1" customWidth="1" style="194" min="1" max="1"/>
    <col width="91.5703125" bestFit="1" customWidth="1" style="194" min="2" max="2"/>
    <col width="88.42578125" bestFit="1" customWidth="1" style="194" min="3" max="3"/>
    <col width="93.85546875" bestFit="1" customWidth="1" style="194" min="4" max="4"/>
    <col width="94" customWidth="1" style="194" min="5" max="7"/>
    <col width="23.28515625" bestFit="1" customWidth="1" style="194" min="8" max="8"/>
    <col width="67.140625" customWidth="1" style="194" min="9" max="9"/>
    <col width="22.42578125" bestFit="1" customWidth="1" style="194" min="10" max="10"/>
    <col width="17.85546875" bestFit="1" customWidth="1" style="194" min="11" max="11"/>
    <col width="24.28515625" bestFit="1" customWidth="1" style="194" min="12" max="12"/>
    <col width="27.140625" bestFit="1" customWidth="1" style="194" min="13" max="13"/>
    <col width="23.5703125" bestFit="1" customWidth="1" style="194" min="14" max="14"/>
    <col width="18.85546875" bestFit="1" customWidth="1" style="194" min="15" max="15"/>
    <col width="8.7109375" customWidth="1" style="194" min="16" max="16384"/>
  </cols>
  <sheetData>
    <row r="1" ht="27.75" customHeight="1">
      <c r="A1" s="188" t="inlineStr">
        <is>
          <t>لطفا قبل از اعمال تغییرات به نکات زیر توجه فرمایید.</t>
        </is>
      </c>
      <c r="B1" s="197" t="n"/>
      <c r="C1" s="197" t="n"/>
      <c r="D1" s="197" t="n"/>
      <c r="E1" s="197" t="n"/>
      <c r="F1" s="197" t="n"/>
      <c r="G1" s="197" t="n"/>
      <c r="H1" s="197" t="n"/>
      <c r="I1" s="197" t="n"/>
      <c r="J1" s="197" t="n"/>
      <c r="K1" s="198" t="n"/>
      <c r="L1" s="193" t="n"/>
      <c r="M1" s="193" t="n"/>
      <c r="N1" s="193" t="n"/>
      <c r="O1" s="32" t="n"/>
      <c r="P1" s="193" t="n"/>
    </row>
    <row r="2" ht="27.75" customHeight="1">
      <c r="A2" s="189" t="inlineStr">
        <is>
          <t>تمام تست های انجام شده مطابق با استاندار های بیان شده  در Benchmark های CIS  می باشد.</t>
        </is>
      </c>
      <c r="B2" s="197" t="n"/>
      <c r="C2" s="197" t="n"/>
      <c r="D2" s="197" t="n"/>
      <c r="E2" s="197" t="n"/>
      <c r="F2" s="197" t="n"/>
      <c r="G2" s="197" t="n"/>
      <c r="H2" s="197" t="n"/>
      <c r="I2" s="197" t="n"/>
      <c r="J2" s="197" t="n"/>
      <c r="K2" s="198" t="n"/>
      <c r="L2" s="193" t="n"/>
      <c r="M2" s="193" t="n"/>
      <c r="N2" s="193" t="n"/>
      <c r="O2" s="32" t="n"/>
      <c r="P2" s="193" t="n"/>
    </row>
    <row r="3" ht="27.75" customHeight="1">
      <c r="A3" s="189" t="inlineStr">
        <is>
          <t>در صورت نیاز به بروز رسانی یا اعمال تغییرات در راستای امن سازی حتما نسخه پشتیبان از سرویس مورد نظر  تهیه شود.</t>
        </is>
      </c>
      <c r="B3" s="197" t="n"/>
      <c r="C3" s="197" t="n"/>
      <c r="D3" s="197" t="n"/>
      <c r="E3" s="197" t="n"/>
      <c r="F3" s="197" t="n"/>
      <c r="G3" s="197" t="n"/>
      <c r="H3" s="197" t="n"/>
      <c r="I3" s="197" t="n"/>
      <c r="J3" s="197" t="n"/>
      <c r="K3" s="198" t="n"/>
      <c r="L3" s="193" t="n"/>
      <c r="M3" s="193" t="n"/>
      <c r="N3" s="193" t="n"/>
      <c r="O3" s="32" t="n"/>
      <c r="P3" s="193" t="n"/>
    </row>
    <row r="4" ht="27.75" customHeight="1">
      <c r="A4" s="189" t="inlineStr">
        <is>
          <t xml:space="preserve"> هر یک از موارد امن سازی باید توسط ادمین سرویس، مورد بررسی قرار بگیرد و سپس با صلاح دید ادمین و با آگاهی از  عواقب احتمالی، تغییرات اعمال شود.</t>
        </is>
      </c>
      <c r="B4" s="197" t="n"/>
      <c r="C4" s="197" t="n"/>
      <c r="D4" s="197" t="n"/>
      <c r="E4" s="197" t="n"/>
      <c r="F4" s="197" t="n"/>
      <c r="G4" s="197" t="n"/>
      <c r="H4" s="197" t="n"/>
      <c r="I4" s="197" t="n"/>
      <c r="J4" s="197" t="n"/>
      <c r="K4" s="198" t="n"/>
      <c r="L4" s="193" t="n"/>
      <c r="M4" s="193" t="n"/>
      <c r="N4" s="193" t="n"/>
      <c r="O4" s="32" t="n"/>
      <c r="P4" s="193" t="n"/>
    </row>
    <row r="5" ht="27.75" customHeight="1">
      <c r="A5" s="189" t="inlineStr">
        <is>
          <t>در صورت عدم اعمال تغییرات جهت امن سازی دلایل آن به صورت دقیق و شفاف در قسمت کامنت ذکر گردد.</t>
        </is>
      </c>
      <c r="B5" s="197" t="n"/>
      <c r="C5" s="197" t="n"/>
      <c r="D5" s="197" t="n"/>
      <c r="E5" s="197" t="n"/>
      <c r="F5" s="197" t="n"/>
      <c r="G5" s="197" t="n"/>
      <c r="H5" s="197" t="n"/>
      <c r="I5" s="197" t="n"/>
      <c r="J5" s="197" t="n"/>
      <c r="K5" s="198" t="n"/>
      <c r="L5" s="193" t="n"/>
      <c r="M5" s="193" t="n"/>
      <c r="N5" s="193" t="n"/>
      <c r="O5" s="32" t="n"/>
      <c r="P5" s="193" t="n"/>
    </row>
    <row r="6">
      <c r="A6" s="193" t="n"/>
      <c r="B6" s="193" t="n"/>
      <c r="C6" s="32" t="n"/>
      <c r="D6" s="32" t="n"/>
      <c r="E6" s="32" t="n"/>
      <c r="F6" s="32" t="n"/>
      <c r="G6" s="32" t="n"/>
      <c r="H6" s="193" t="n"/>
      <c r="I6" s="193" t="n"/>
      <c r="J6" s="193" t="n"/>
      <c r="K6" s="32" t="n"/>
      <c r="L6" s="193" t="n"/>
      <c r="M6" s="193" t="n"/>
      <c r="N6" s="193" t="n"/>
      <c r="O6" s="32" t="n"/>
      <c r="P6" s="193" t="n"/>
    </row>
    <row r="7">
      <c r="A7" s="193" t="n"/>
      <c r="B7" s="193" t="n"/>
      <c r="C7" s="32" t="n"/>
      <c r="D7" s="32" t="n"/>
      <c r="E7" s="32" t="n"/>
      <c r="F7" s="32" t="n"/>
      <c r="G7" s="32" t="n"/>
      <c r="H7" s="193" t="n"/>
      <c r="I7" s="193" t="n"/>
      <c r="J7" s="193" t="n"/>
      <c r="K7" s="32" t="n"/>
      <c r="L7" s="193" t="n"/>
      <c r="M7" s="193" t="n"/>
      <c r="N7" s="193" t="n"/>
      <c r="O7" s="32" t="n"/>
      <c r="P7" s="193" t="n"/>
    </row>
    <row r="8" ht="26.25" customHeight="1">
      <c r="A8" s="33" t="inlineStr">
        <is>
          <t>No.</t>
        </is>
      </c>
      <c r="B8" s="34" t="inlineStr">
        <is>
          <t>Done</t>
        </is>
      </c>
      <c r="C8" s="35" t="inlineStr">
        <is>
          <t>Undone</t>
        </is>
      </c>
      <c r="D8" s="36" t="inlineStr">
        <is>
          <t>N/A</t>
        </is>
      </c>
      <c r="E8" s="37" t="inlineStr">
        <is>
          <t>Missing Evidence</t>
        </is>
      </c>
      <c r="F8" s="38" t="inlineStr">
        <is>
          <t>Manual Review</t>
        </is>
      </c>
      <c r="G8" s="39" t="inlineStr">
        <is>
          <t>Inprogress</t>
        </is>
      </c>
      <c r="H8" s="193" t="n"/>
      <c r="I8" s="193" t="n"/>
      <c r="J8" s="193" t="n"/>
      <c r="K8" s="32" t="n"/>
      <c r="L8" s="193" t="n"/>
      <c r="M8" s="193" t="n"/>
      <c r="N8" s="193" t="n"/>
      <c r="O8" s="32" t="n"/>
      <c r="P8" s="193" t="n"/>
    </row>
    <row r="9">
      <c r="A9" s="40" t="inlineStr">
        <is>
          <t>Audit 01</t>
        </is>
      </c>
      <c r="B9" s="40">
        <f>COUNTIF(Table219[Auditor''s Status],Table320[[#Headers],[Done]])</f>
        <v/>
      </c>
      <c r="C9" s="40">
        <f>COUNTIF(Table219[Auditor''s Status],Table320[[#Headers],[Undone]])</f>
        <v/>
      </c>
      <c r="D9" s="40">
        <f>COUNTIF(Table219[Auditor''s Status],Table320[[#Headers],[N/A]])</f>
        <v/>
      </c>
      <c r="E9" s="40">
        <f>COUNTIF(Table219[Auditor''s Status],Table320[[#Headers],[Missing Evidence]])</f>
        <v/>
      </c>
      <c r="F9" s="41">
        <f>COUNTIF(Table219[Auditor''s Status],Table320[[#Headers],[Manual Review]])</f>
        <v/>
      </c>
      <c r="G9" s="41">
        <f>COUNTIF(Table219[Auditor''s Status],Table320[[#Headers],[Inprogress]])</f>
        <v/>
      </c>
      <c r="H9" s="193" t="n"/>
      <c r="I9" s="193" t="n"/>
      <c r="J9" s="193" t="n"/>
      <c r="K9" s="32" t="n"/>
      <c r="L9" s="193" t="n"/>
      <c r="M9" s="193" t="n"/>
      <c r="N9" s="193" t="n"/>
      <c r="O9" s="32" t="n"/>
      <c r="P9" s="193" t="n"/>
    </row>
    <row r="10">
      <c r="A10" s="40" t="n"/>
      <c r="B10" s="40" t="n"/>
      <c r="C10" s="40" t="n"/>
      <c r="D10" s="40" t="n"/>
      <c r="E10" s="40" t="n"/>
      <c r="F10" s="42" t="n"/>
      <c r="G10" s="42" t="n"/>
      <c r="H10" s="193" t="n"/>
      <c r="I10" s="193" t="n"/>
      <c r="J10" s="193" t="n"/>
      <c r="K10" s="32" t="n"/>
      <c r="L10" s="193" t="n"/>
      <c r="M10" s="193" t="n"/>
      <c r="N10" s="193" t="n"/>
      <c r="O10" s="32" t="n"/>
      <c r="P10" s="193" t="n"/>
    </row>
    <row r="11">
      <c r="A11" s="36" t="n"/>
      <c r="B11" s="36" t="n"/>
      <c r="C11" s="36" t="n"/>
      <c r="D11" s="36" t="n"/>
      <c r="E11" s="36" t="n"/>
      <c r="F11" s="36" t="n"/>
      <c r="G11" s="36" t="n"/>
      <c r="H11" s="193" t="n"/>
      <c r="I11" s="193" t="n"/>
      <c r="J11" s="193" t="n"/>
      <c r="K11" s="32" t="n"/>
      <c r="L11" s="193" t="n"/>
      <c r="M11" s="193" t="n"/>
      <c r="N11" s="193" t="n"/>
      <c r="O11" s="32" t="n"/>
      <c r="P11" s="193" t="n"/>
    </row>
    <row r="12">
      <c r="A12" s="36" t="n"/>
      <c r="B12" s="36" t="n"/>
      <c r="C12" s="36" t="n"/>
      <c r="D12" s="36" t="n"/>
      <c r="E12" s="36" t="n"/>
      <c r="F12" s="36" t="n"/>
      <c r="G12" s="36" t="n"/>
      <c r="H12" s="193" t="n"/>
      <c r="I12" s="193" t="n"/>
      <c r="J12" s="193" t="n"/>
      <c r="K12" s="32" t="n"/>
      <c r="L12" s="193" t="n"/>
      <c r="M12" s="193" t="n"/>
      <c r="N12" s="193" t="n"/>
      <c r="O12" s="32" t="n"/>
      <c r="P12" s="193" t="n"/>
    </row>
    <row r="13">
      <c r="A13" s="36" t="n"/>
      <c r="B13" s="36" t="n"/>
      <c r="C13" s="36" t="n"/>
      <c r="D13" s="36" t="n"/>
      <c r="E13" s="36" t="n"/>
      <c r="F13" s="36" t="n"/>
      <c r="G13" s="36" t="n"/>
      <c r="H13" s="193" t="n"/>
      <c r="I13" s="193" t="n"/>
      <c r="J13" s="193" t="n"/>
      <c r="K13" s="32" t="n"/>
      <c r="L13" s="193" t="n"/>
      <c r="M13" s="193" t="n"/>
      <c r="N13" s="193" t="n"/>
      <c r="O13" s="32" t="n"/>
      <c r="P13" s="193" t="n"/>
    </row>
    <row r="14" ht="24" customHeight="1">
      <c r="A14" s="43" t="n"/>
      <c r="B14" s="43" t="n"/>
      <c r="C14" s="44" t="n"/>
      <c r="D14" s="44" t="n"/>
      <c r="E14" s="44" t="n"/>
      <c r="F14" s="44" t="n"/>
      <c r="G14" s="44" t="n"/>
      <c r="H14" s="43" t="n"/>
      <c r="I14" s="43" t="n"/>
      <c r="J14" s="181" t="inlineStr">
        <is>
          <t>فقط دو ستون زیر مربوط به ادمین سیستم است و باید تغییر داده شود</t>
        </is>
      </c>
      <c r="L14" s="43" t="n"/>
      <c r="M14" s="43" t="n"/>
      <c r="N14" s="181" t="inlineStr">
        <is>
          <t>فقط دو ستون زیر مربوط به ادمین سیستم است و باید تغییر داده شود</t>
        </is>
      </c>
      <c r="P14" s="43" t="n"/>
    </row>
    <row r="15" ht="15.75" customHeight="1" thickBot="1">
      <c r="A15" s="193" t="n"/>
      <c r="B15" s="193" t="n"/>
      <c r="C15" s="32" t="n"/>
      <c r="D15" s="32" t="n"/>
      <c r="E15" s="32" t="n"/>
      <c r="F15" s="32" t="n"/>
      <c r="G15" s="32" t="n"/>
      <c r="H15" s="193" t="n"/>
      <c r="I15" s="193" t="n"/>
      <c r="J15" s="182" t="n"/>
      <c r="L15" s="193" t="n"/>
      <c r="M15" s="193" t="n"/>
      <c r="N15" s="182" t="n"/>
      <c r="P15" s="193" t="n"/>
    </row>
    <row r="16">
      <c r="A16" s="183" t="inlineStr">
        <is>
          <t>CIS_Debian_Linux_10_Benchmark_v2.0.0_ARCHIVE</t>
        </is>
      </c>
      <c r="B16" s="197" t="n"/>
      <c r="C16" s="197" t="n"/>
      <c r="D16" s="197" t="n"/>
      <c r="E16" s="198" t="n"/>
      <c r="F16" s="45" t="n"/>
      <c r="G16" s="45" t="n"/>
      <c r="H16" s="185" t="inlineStr">
        <is>
          <t>Audit 01</t>
        </is>
      </c>
      <c r="I16" s="206" t="n"/>
      <c r="J16" s="206" t="n"/>
      <c r="K16" s="207" t="n"/>
      <c r="L16" s="185" t="inlineStr">
        <is>
          <t>Audit 02</t>
        </is>
      </c>
      <c r="M16" s="206" t="n"/>
      <c r="N16" s="206" t="n"/>
      <c r="O16" s="207" t="n"/>
      <c r="P16" s="193" t="n"/>
    </row>
    <row r="17">
      <c r="A17" s="46" t="inlineStr">
        <is>
          <t xml:space="preserve">No. </t>
        </is>
      </c>
      <c r="B17" s="46" t="inlineStr">
        <is>
          <t>Title|Name Testcase</t>
        </is>
      </c>
      <c r="C17" s="46" t="inlineStr">
        <is>
          <t>Info|Description</t>
        </is>
      </c>
      <c r="D17" s="47" t="inlineStr">
        <is>
          <t>Check</t>
        </is>
      </c>
      <c r="E17" s="47" t="inlineStr">
        <is>
          <t>Fix|Solution</t>
        </is>
      </c>
      <c r="F17" s="48" t="inlineStr">
        <is>
          <t>Policy Value</t>
        </is>
      </c>
      <c r="G17" s="48" t="inlineStr">
        <is>
          <t>Result</t>
        </is>
      </c>
      <c r="H17" s="49" t="inlineStr">
        <is>
          <t>Auditor's Status</t>
        </is>
      </c>
      <c r="I17" s="50" t="inlineStr">
        <is>
          <t>Auditor's Comment</t>
        </is>
      </c>
      <c r="J17" s="50" t="inlineStr">
        <is>
          <t xml:space="preserve"> Owner's Status</t>
        </is>
      </c>
      <c r="K17" s="51" t="inlineStr">
        <is>
          <t>Owner's Comment</t>
        </is>
      </c>
      <c r="L17" s="49" t="inlineStr">
        <is>
          <t>Auditor's Status2</t>
        </is>
      </c>
      <c r="M17" s="50" t="inlineStr">
        <is>
          <t>Auditor's Comment2</t>
        </is>
      </c>
      <c r="N17" s="50" t="inlineStr">
        <is>
          <t xml:space="preserve"> Owner's Status2</t>
        </is>
      </c>
      <c r="O17" s="51" t="inlineStr">
        <is>
          <t>Owner's Comment2</t>
        </is>
      </c>
      <c r="P17" s="193" t="n"/>
    </row>
    <row r="18" ht="409.5" customHeight="1">
      <c r="A18" s="52" t="n">
        <v>1</v>
      </c>
      <c r="B18" s="53" t="inlineStr">
        <is>
          <t>1.1.1.1 Ensure mounting of cramfs filesystems is disabled</t>
        </is>
      </c>
      <c r="C18" s="53" t="inlineStr">
        <is>
          <t>The cramfs filesystem type is a compressed read-only Linux filesystem embedded in
small footprint systems. A cramfs image can be used without having to first decompress
the image.</t>
        </is>
      </c>
      <c r="D18" s="54" t="inlineStr">
        <is>
          <t>Run the following script to verify the cramfs module is disabled:
If the module is available in the running kernel:
   •     An entry including /bin/true or /bin/false exists in a file within the
         /etc/modprobe.d/ directory
   •     The module is deny listed in a file within the /etc/modprobe.d/ directory
   •     The module is not loaded in the kernel
If available in ANY installed kernel:
   •     The module is deny listed in a file within the /etc/modprobe.d/ directory
If the kernel module is not available on the system, or pre-compiled into the kernel:
   •     No additional configuration is necessary
#!/usr/bin/env bash
{
   l_output="" l_output2="" l_output3="" l_dl="" # Unset output variables
   l_mname="cramfs" # set module name
   l_mtype="fs" # set module type
   l_searchloc="/lib/modprobe.d/*.conf /usr/local/lib/modprobe.d/*.conf /run/modprobe.d/*.conf
/etc/modprobe.d/*.conf"
   l_mpath="/lib/modules/**/kernel/$l_mtype"
   l_mpname="$(tr '-' '_' &lt;&lt;&lt; "$l_mname")"
   l_mndir="$(tr '-' '/' &lt;&lt;&lt; "$l_mname")"
   module_loadable_chk()
   {
      # Check if the module is currently loadable
      l_loadable="$(modprobe -n -v "$l_mname")"
      [ "$(wc -l &lt;&lt;&lt; "$l_loadable")" -gt "1" ] &amp;&amp; l_loadable="$(grep -P --
"(^\h*install|\b$l_mname)\b" &lt;&lt;&lt; "$l_loadable")"
      if grep -Pq -- '^\h*install \/bin\/(true|false)' &lt;&lt;&lt; "$l_loadable"; then
         l_output="$l_output\n - module: \"$l_mname\" is not loadable: \"$l_loadable\""
      else
         l_output2="$l_output2\n - module: \"$l_mname\" is loadable: \"$l_loadable\""
      fi
   }
   module_loaded_chk()
   {
      # Check if the module is currently loaded
      if ! lsmod | grep "$l_mname" &gt; /dev/null 2&gt;&amp;1; then
         l_output="$l_output\n - module: \"$l_mname\" is not loaded"
      else
         l_output2="$l_output2\n - module: \"$l_mname\" is loaded"
      fi
   }
   module_deny_chk()
   {
      # Check if the module is deny listed
      l_dl="y"
      if modprobe --showconfig | grep -Pq -- '^\h*blacklist\h+'"$l_mpname"'\b'; then
         l_output="$l_output\n - module: \"$l_mname\" is deny listed in: \"$(grep -Pls --
"^\h*blacklist\h+$l_mname\b" $l_searchloc)\""
      else
         l_output2="$l_output2\n - module: \"$l_mname\" is not deny listed"
      fi
   }
   # Check if the module exists on the system
   for l_mdir in $l_mpath; do
      if [ -d "$l_mdir/$l_mndir" ] &amp;&amp; [ -n "$(ls -A $l_mdir/$l_mndir)" ]; then
         l_output3="$l_output3\n - \"$l_mdir\""
         [ "$l_dl" != "y" ] &amp;&amp; module_deny_chk
         if [ "$l_mdir" = "/lib/modules/$(uname -r)/kernel/$l_mtype" ]; then
            module_loadable_chk
            module_loaded_chk
         fi
      else
         l_output="$l_output\n - module: \"$l_mname\" doesn't exist in \"$l_mdir\""
      fi
   done
   # Report results. If no failures output in l_output2, we pass
   [ -n "$l_output3" ] &amp;&amp; echo -e "\n\n -- INFO --\n - module: \"$l_mname\" exists in:$l_output3"
   if [ -z "$l_output2" ]; then
      echo -e "\n- Audit Result:\n ** PASS **\n$l_output\n"
   else
      echo -e "\n- Audit Result:\n ** FAIL **\n - Reason(s) for audit failure:\n$l_output2\n"
      [ -n "$l_output" ] &amp;&amp; echo -e "\n- Correctly set:\n$l_output\n"
   fi
}</t>
        </is>
      </c>
      <c r="E18" s="55" t="inlineStr">
        <is>
          <t>Run the following script to disable the cramfs module:
If the module is available in the running kernel:
   •   Create a file with install cramfs /bin/false in the /etc/modprobe.d/ directory
   •   Create a file with blacklist cramfs in the /etc/modprobe.d/ directory
   •   Unload cramfs from the kernel
If available in ANY installed kernel:
   •   Create a file with blacklist cramfs in the /etc/modprobe.d/ directory
If the kernel module is not available on the system or pre-compiled into the kernel:
   •   No remediation is necessary
#!/usr/bin/env bash
{
    l_mname="cramfs"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is>
      </c>
      <c r="F18" s="56" t="inlineStr">
        <is>
          <t>If cramfs is available in any installed kernel, it must not be loaded and must be disabled/deny-listed according to the CIS audit requirements. If the module is unavailable, no additional configuration is required.</t>
        </is>
      </c>
      <c r="G18" s="57" t="inlineStr">
        <is>
          <t>Check Command 1: ls -l ../../lib/modules/4.14.151-OpenNetworkLinux+/kernel/fs/cramfs
Relevant Returned Output:
ls: cannot access '../../lib/modules/4.14.151-OpenNetworkLinux+/kernel/fs/cramfs': No such file or directory
Check Command 2: ls -l ../../lib/modules/4.19.81-OpenNetworkLinux+/kernel/fs/cramfs
Relevant Returned Output:
ls: cannot access '../../lib/modules/4.19.81-OpenNetworkLinux+/kernel/fs/cramfs': No such file or directory</t>
        </is>
      </c>
      <c r="H18" s="58" t="inlineStr">
        <is>
          <t>Done</t>
        </is>
      </c>
      <c r="I18" s="59" t="inlineStr">
        <is>
          <t>cramfs kernel module path was not present in either checked installed kernel tree.</t>
        </is>
      </c>
      <c r="J18" s="60" t="n"/>
      <c r="K18" s="61" t="n"/>
      <c r="L18" s="58" t="n"/>
      <c r="M18" s="60" t="n"/>
      <c r="N18" s="62" t="n"/>
      <c r="O18" s="63" t="n"/>
      <c r="P18" s="193" t="n"/>
    </row>
    <row r="19" ht="409.5" customHeight="1">
      <c r="A19" s="52" t="n">
        <v>2</v>
      </c>
      <c r="B19" s="68" t="inlineStr">
        <is>
          <t>6.1.12 Ensure no unowned or ungrouped files or directories exist</t>
        </is>
      </c>
      <c r="C19" s="68" t="inlineStr">
        <is>
          <t>Administrators may delete users or groups from the system and neglect to remove all
files and/or directories owned by those users or groups.</t>
        </is>
      </c>
      <c r="D19" s="30" t="inlineStr">
        <is>
          <t>Run the following script to verify no unowned or ungrouped files or directories exist:
#!/usr/bin/env bash
{
   l_output="" l_output2=""
   a_path=(); a_arr=(); a_nouser=(); a_nogroup=() # Initialize arrays
   a_path=(! -path "/run/user/*" -a ! -path "/proc/*" -a ! -path
"*/containerd/*" -a ! -path "*/kubelet/pods/*")
   while read -r l_bfs; do
       a_path+=( -a ! -path ""$l_bfs"/*")
   done &lt; &lt;(findmnt -Dkerno fstype,target | awk '$1 ~ /^\s*(nfs|proc|smb)/
{print $2}')
   while IFS= read -r -d $'\0' l_file; do
       [ -e "$l_file" ] &amp;&amp; a_arr+=("$(stat -Lc '%n^%U^%G' "$l_file")") &amp;&amp; echo
"Adding: $l_file"
   done &lt; &lt;(find / \( "${a_path[@]}" \) \( -type f -o -type d \) \( -nouser -
o -nogroup \) -print0 2&gt; /dev/null)
   while IFS="^" read -r l_fname l_user l_group; do # Test files in the array
       [ "$l_user" = "UNKNOWN" ] &amp;&amp; a_nouser+=("$l_fname")
       [ "$l_group" = "UNKNOWN" ] &amp;&amp; a_nogroup+=("$l_fname")
   done &lt;&lt;&lt; "$(printf '%s\n' "${a_arr[@]}")"
   if ! (( ${#a_nouser[@]} &gt; 0 )); then
       l_output="$l_output\n - No unowned files or directories exist on the
local filesystem."
   else
       l_output2="$l_output2\n - There are \"$(printf '%s'
"${#a_nouser[@]}")\" unowned files or directories on the system.\n    - The
following is a list of unowned files and/or directories:\n$(printf '%s\n'
"${a_nouser[@]}")\n    - end of list"
   fi
   if ! (( ${#a_nogroup[@]} &gt; 0 )); then
       l_output="$l_output\n - No ungrouped files or directories exist on the
local filesystem."
   else
       l_output2="$l_output2\n - There are \"$(printf '%s'
"${#a_nogroup[@]}")\" ungrouped files or directories on the system.\n    - The
following is a list of ungrouped files and/or directories:\n$(printf '%s\n'
"${a_nogroup[@]}")\n    - end of list"
   fi
   unset a_path; unset a_arr ; unset a_nouser; unset a_nogroup # Remove
arrays
   if [ -z "$l_output2" ]; then # If l_output2 is empty, we pass
       echo -e "\n- Audit Result:\n ** PASS **\n - * Correctly configured *
:\n$l_output\n"
   else
       echo -e "\n- Audit Result:\n ** FAIL **\n - * Reasons for audit
failure * :\n$l_output2"
       [ -n "$l_output" ] &amp;&amp; echo -e "\n- * Correctly configured *
:\n$l_output\n"
   fi
}
Note: On systems with a large number of files and/or directories, this audit may be a
long running process</t>
        </is>
      </c>
      <c r="E19" s="55" t="inlineStr">
        <is>
          <t>Remove or set ownership and group ownership of these files and/or directories to an
active user on the system as appropriate.</t>
        </is>
      </c>
      <c r="F19" s="64" t="inlineStr">
        <is>
          <t>no unowned or ungrouped files or directories exist</t>
        </is>
      </c>
      <c r="G19" s="65" t="inlineStr">
        <is>
          <t>Check Command: Not collected for this testcase
Observed Result:
No direct output collected.</t>
        </is>
      </c>
      <c r="H19" s="58" t="inlineStr">
        <is>
          <t>Undone</t>
        </is>
      </c>
      <c r="I19" s="60" t="inlineStr">
        <is>
          <t>A filesystem-wide search for unowned or ungrouped files and directories was not collected.</t>
        </is>
      </c>
      <c r="J19" s="60" t="n"/>
      <c r="K19" s="61" t="n"/>
      <c r="L19" s="58" t="n"/>
      <c r="M19" s="60" t="n"/>
      <c r="N19" s="62" t="n"/>
      <c r="O19" s="61" t="n"/>
      <c r="P19" s="193" t="n"/>
    </row>
    <row r="20" ht="409.5" customHeight="1">
      <c r="A20" s="52" t="n">
        <v>3</v>
      </c>
      <c r="B20" s="68" t="inlineStr">
        <is>
          <t>6.1.13 Ensure SUID and SGID files are reviewed</t>
        </is>
      </c>
      <c r="C20" s="68" t="inlineStr">
        <is>
          <t>The owner of a file can set the file's permissions to run with the owner's or group's
permissions, even if the user running the program is not the owner or a member of the
group. The most common reason for a SUID or SGID program is to enable users to
perform functions (such as changing their password) that require root privileges.</t>
        </is>
      </c>
      <c r="D20" s="30" t="inlineStr">
        <is>
          <t>Run the following script to generate a list of SUID and SGID files:
#!/usr/bin/env bash
{
   l_output="" l_output2=""
   a_arr=(); a_suid=(); a_sgid=() # initialize arrays
   # Populate array with files that will possibly fail one of the audits
   while read -r l_mpname; do
      while IFS= read -r -d $'\0' l_file; do
         [ -e "$l_file" ] &amp;&amp; a_arr+=("$(stat -Lc '%n^%#a' "$l_file")")
      done &lt; &lt;(find "$l_mpname" -xdev -not -path "/run/user/*" -type f \( -
perm -2000 -o -perm -4000 \) -print0)
   done &lt;&lt;&lt; "$(findmnt -Derno target)"
   # Test files in the array
   while IFS="^" read -r l_fname l_mode; do
      if [ -f "$l_fname" ]; then
         l_suid_mask="04000"; l_sgid_mask="02000"
         [ $(( $l_mode &amp; $l_suid_mask )) -gt 0 ] &amp;&amp; a_suid+=("$l_fname")
         [ $(( $l_mode &amp; $l_sgid_mask )) -gt 0 ] &amp;&amp; a_sgid+=("$l_fname")
      fi
   done &lt;&lt;&lt; "$(printf '%s\n' "${a_arr[@]}")"
   if ! (( ${#a_suid[@]} &gt; 0 )); then
      l_output="$l_output\n - There are no SUID files exist on the system"
   else
      l_output2="$l_output2\n - List of \"$(printf '%s' "${#a_suid[@]}")\"
SUID executable files:\n$(printf '%s\n' "${a_suid[@]}")\n - end of list -\n"
   fi
   if ! (( ${#a_sgid[@]} &gt; 0 )); then
      l_output="$l_output\n - There are no SGID files exist on the system"
   else
      l_output2="$l_output2\n - List of \"$(printf '%s' "${#a_sgid[@]}")\"
SGID executable files:\n$(printf '%s\n' "${a_sgid[@]}")\n - end of list -\n"
   fi
   [ -n "$l_output2" ] &amp;&amp; l_output2="$l_output2\n- Review the preceding
list(s) of SUID and/or SGID files to\n- ensure that no rogue programs have
been introduced onto the system.\n"
   unset a_arr; unset a_suid; unset a_sgid # Remove arrays
   # If l_output2 is empty, Nothing to report
   if [ -z "$l_output2" ]; then
      echo -e "\n- Audit Result:\n$l_output\n"
   else
      echo -e "\n- Audit Result:\n$l_output2\n"
      [ -n "$l_output" ] &amp;&amp; echo -e "$l_output\n"
   fi
}
Note: on systems with a large number of files, this may be a long running process</t>
        </is>
      </c>
      <c r="E20" s="55" t="inlineStr">
        <is>
          <t>Ensure that no rogue SUID or SGID programs have been introduced into the system.
Review the files returned by the action in the Audit section and confirm the integrity of
these binaries.</t>
        </is>
      </c>
      <c r="F20" s="64" t="inlineStr">
        <is>
          <t>SUID and SGID files are reviewed</t>
        </is>
      </c>
      <c r="G20" s="65" t="inlineStr">
        <is>
          <t>Check Command: Not collected for this testcase
Observed Result:
No direct output collected.</t>
        </is>
      </c>
      <c r="H20" s="67" t="inlineStr">
        <is>
          <t>N/A</t>
        </is>
      </c>
      <c r="I20" s="60" t="inlineStr">
        <is>
          <t>An inventory of SUID and SGID files was not collected for manual review.</t>
        </is>
      </c>
      <c r="J20" s="60" t="n"/>
      <c r="K20" s="61" t="n"/>
      <c r="L20" s="58" t="n"/>
      <c r="M20" s="60" t="n"/>
      <c r="N20" s="62" t="n"/>
      <c r="O20" s="61" t="n"/>
      <c r="P20" s="193" t="n"/>
    </row>
    <row r="21" ht="51" customHeight="1">
      <c r="A21" s="52" t="n">
        <v>4</v>
      </c>
      <c r="B21" s="68" t="inlineStr">
        <is>
          <t>6.2.1 Ensure accounts in /etc/passwd use shadowed passwords</t>
        </is>
      </c>
      <c r="C21" s="68" t="inlineStr">
        <is>
          <t>Local accounts can uses shadowed passwords. With shadowed passwords, The
passwords are saved in shadow password file, /etc/shadow, encrypted by a salted one-
way hash. Accounts with a shadowed password have an x in the second field in
/etc/passwd.</t>
        </is>
      </c>
      <c r="D21" s="30" t="inlineStr">
        <is>
          <t>Run the following command and verify that no output is returned:
# awk -F: '($2 != "x" ) { print $1 " is not set to shadowed passwords "}'
/etc/passwd</t>
        </is>
      </c>
      <c r="E21" s="55" t="inlineStr">
        <is>
          <t>Run the following command to set accounts to use shadowed passwords:
# sed -e 's/^\([a-zA-Z0-9_]*\):[^:]*:/\1:x:/' -i /etc/passwd
Investigate to determine if the account is logged in and what it is being used for, to
determine if it needs to be forced off.</t>
        </is>
      </c>
      <c r="F21" s="64" t="inlineStr">
        <is>
          <t>accounts in /etc/passwd use shadowed passwords</t>
        </is>
      </c>
      <c r="G21" s="65" t="inlineStr">
        <is>
          <t>Check Command 1: cat ../../etc/passwd
Relevant Returned Output:
All 25 passwd entries use 'x' in the password field.</t>
        </is>
      </c>
      <c r="H21" s="58" t="inlineStr">
        <is>
          <t>Missing Evidence</t>
        </is>
      </c>
      <c r="I21" s="60" t="inlineStr">
        <is>
          <t>All 25 passwd entries use 'x' in the password field.</t>
        </is>
      </c>
      <c r="J21" s="60" t="n"/>
      <c r="K21" s="61" t="n"/>
      <c r="L21" s="58" t="n"/>
      <c r="M21" s="60" t="n"/>
      <c r="N21" s="62" t="n"/>
      <c r="O21" s="61" t="n"/>
      <c r="P21" s="193" t="n"/>
    </row>
    <row r="22" ht="76.5" customHeight="1">
      <c r="A22" s="52" t="n">
        <v>5</v>
      </c>
      <c r="B22" s="68" t="inlineStr">
        <is>
          <t>6.2.2 Ensure /etc/shadow password fields are not empty</t>
        </is>
      </c>
      <c r="C22" s="68" t="inlineStr">
        <is>
          <t>An account with an empty password field means that anybody may log in as that user
without providing a password.</t>
        </is>
      </c>
      <c r="D22" s="30" t="inlineStr">
        <is>
          <t>Run the following command and verify that no output is returned:
# awk -F: '($2 == "" ) { print $1 " does not have a password "}' /etc/shadow</t>
        </is>
      </c>
      <c r="E22" s="55" t="inlineStr">
        <is>
          <t>If any accounts in the /etc/shadow file do not have a password, run the following
command to lock the account until it can be determined why it does not have a
password:
# passwd -l &lt;username&gt;
Also, check to see if the account is logged in and investigate what it is being used for to
determine if it needs to be forced off.</t>
        </is>
      </c>
      <c r="F22" s="64" t="inlineStr">
        <is>
          <t>/etc/shadow password fields are not empty</t>
        </is>
      </c>
      <c r="G22" s="65" t="inlineStr">
        <is>
          <t>Check Command: Not collected for this testcase
Observed Result:
No direct output collected.</t>
        </is>
      </c>
      <c r="H22" s="58" t="inlineStr">
        <is>
          <t>Manual Review</t>
        </is>
      </c>
      <c r="I22" s="60" t="inlineStr">
        <is>
          <t>Password fields from /etc/shadow were not collected, so empty-password fields cannot be verified.</t>
        </is>
      </c>
      <c r="J22" s="60" t="n"/>
      <c r="K22" s="61" t="n"/>
      <c r="L22" s="58" t="n"/>
      <c r="M22" s="60" t="n"/>
      <c r="N22" s="62" t="n"/>
      <c r="O22" s="61" t="n"/>
      <c r="P22" s="193" t="n"/>
    </row>
    <row r="23" ht="150" customHeight="1">
      <c r="A23" s="52" t="n">
        <v>6</v>
      </c>
      <c r="B23" s="68" t="inlineStr">
        <is>
          <t>6.2.3 Ensure all groups in /etc/passwd exist in /etc/group</t>
        </is>
      </c>
      <c r="C23" s="68" t="inlineStr">
        <is>
          <t>Over time, system administration errors and changes can lead to groups being defined
in /etc/passwd but not in /etc/group .</t>
        </is>
      </c>
      <c r="D23" s="30" t="inlineStr">
        <is>
          <t>Run the following script and verify no results are returned:
#!/bin/bash
for i in $(cut -s -d: -f4 /etc/passwd | sort -u ); do
  grep -q -P "^.*?:[^:]*:$i:" /etc/group
  if [ $? -ne 0 ]; then
     echo "Group $i is referenced by /etc/passwd but does not exist in
/etc/group"
  fi
done</t>
        </is>
      </c>
      <c r="E23" s="55" t="inlineStr">
        <is>
          <t>Analyze the output of the Audit step above and perform the appropriate action to correct
any discrepancies found.</t>
        </is>
      </c>
      <c r="F23" s="64" t="inlineStr">
        <is>
          <t>all groups in /etc/passwd exist in /etc/group</t>
        </is>
      </c>
      <c r="G23" s="65" t="inlineStr">
        <is>
          <t>Check Command 1: cat ../../etc/passwd
Relevant Returned Output:
Every passwd primary GID exists in /etc/group.
Every passwd primary GID exists in /etc/group.
Check Command 2: cat ../../etc/group
Relevant Returned Output:
Every passwd primary GID exists in /etc/group.
Every passwd primary GID exists in /etc/group.</t>
        </is>
      </c>
      <c r="H23" s="58" t="inlineStr">
        <is>
          <t>Inprogress</t>
        </is>
      </c>
      <c r="I23" s="60" t="inlineStr">
        <is>
          <t>Every passwd primary GID exists in /etc/group.</t>
        </is>
      </c>
      <c r="J23" s="60" t="n"/>
      <c r="K23" s="61" t="n"/>
      <c r="L23" s="58" t="n"/>
      <c r="M23" s="60" t="n"/>
      <c r="N23" s="62" t="n"/>
      <c r="O23" s="61" t="n"/>
      <c r="P23" s="193" t="n"/>
    </row>
    <row r="24" customFormat="1" s="194">
      <c r="A24" s="193" t="n"/>
      <c r="B24" s="193" t="n"/>
      <c r="C24" s="193" t="n"/>
      <c r="D24" s="193" t="n"/>
      <c r="E24" s="193" t="n"/>
      <c r="F24" s="193" t="n"/>
      <c r="G24" s="193" t="n"/>
      <c r="H24" s="193" t="n"/>
      <c r="I24" s="193" t="n"/>
      <c r="J24" s="193" t="n"/>
      <c r="K24" s="193" t="n"/>
      <c r="L24" s="193" t="n"/>
      <c r="M24" s="193" t="n"/>
      <c r="N24" s="193" t="n"/>
      <c r="O24" s="193" t="n"/>
      <c r="P24" s="193" t="n"/>
    </row>
    <row r="25">
      <c r="A25" s="193" t="n"/>
      <c r="B25" s="193" t="n"/>
      <c r="C25" s="193" t="n"/>
      <c r="D25" s="193" t="n"/>
      <c r="E25" s="193" t="n"/>
      <c r="F25" s="193" t="n"/>
      <c r="G25" s="193" t="n"/>
    </row>
    <row r="26" customFormat="1" s="194">
      <c r="A26" s="193" t="n"/>
      <c r="B26" s="193" t="n"/>
      <c r="C26" s="193" t="n"/>
      <c r="D26" s="193" t="n"/>
      <c r="E26" s="193" t="n"/>
      <c r="F26" s="193" t="n"/>
      <c r="G26" s="193" t="n"/>
      <c r="H26" s="193" t="n"/>
      <c r="I26" s="193" t="n"/>
      <c r="J26" s="193" t="n"/>
      <c r="K26" s="193" t="n"/>
      <c r="L26" s="193" t="n"/>
      <c r="M26" s="193" t="n"/>
      <c r="N26" s="193" t="n"/>
      <c r="O26" s="193" t="n"/>
      <c r="P26" s="193" t="n"/>
    </row>
    <row r="27">
      <c r="A27" s="193" t="n"/>
      <c r="B27" s="193" t="n"/>
      <c r="C27" s="193" t="n"/>
      <c r="D27" s="193" t="n"/>
      <c r="E27" s="193" t="n"/>
      <c r="F27" s="193" t="n"/>
      <c r="G27" s="193" t="n"/>
    </row>
    <row r="28" customFormat="1" s="194">
      <c r="A28" s="193" t="n"/>
      <c r="B28" s="193" t="n"/>
      <c r="C28" s="193" t="n"/>
      <c r="D28" s="193" t="n"/>
      <c r="E28" s="193" t="n"/>
      <c r="F28" s="193" t="n"/>
      <c r="G28" s="193" t="n"/>
      <c r="H28" s="193" t="n"/>
      <c r="I28" s="193" t="n"/>
      <c r="J28" s="193" t="n"/>
      <c r="K28" s="193" t="n"/>
      <c r="L28" s="193" t="n"/>
      <c r="M28" s="193" t="n"/>
      <c r="N28" s="193" t="n"/>
      <c r="O28" s="193" t="n"/>
      <c r="P28" s="193" t="n"/>
    </row>
    <row r="29">
      <c r="A29" s="193" t="n"/>
      <c r="B29" s="193" t="n"/>
      <c r="C29" s="193" t="n"/>
      <c r="D29" s="193" t="n"/>
      <c r="E29" s="193" t="n"/>
      <c r="F29" s="193" t="n"/>
      <c r="G29" s="193" t="n"/>
    </row>
    <row r="30" customFormat="1" s="194">
      <c r="A30" s="193" t="n"/>
      <c r="B30" s="193" t="n"/>
      <c r="C30" s="193" t="n"/>
      <c r="D30" s="193" t="n"/>
      <c r="E30" s="193" t="n"/>
      <c r="F30" s="193" t="n"/>
      <c r="G30" s="193" t="n"/>
      <c r="H30" s="193" t="n"/>
      <c r="I30" s="193" t="n"/>
      <c r="J30" s="193" t="n"/>
      <c r="K30" s="193" t="n"/>
      <c r="L30" s="193" t="n"/>
      <c r="M30" s="193" t="n"/>
      <c r="N30" s="193" t="n"/>
      <c r="O30" s="193" t="n"/>
      <c r="P30" s="193" t="n"/>
    </row>
    <row r="31">
      <c r="A31" s="193" t="n"/>
      <c r="B31" s="193" t="n"/>
      <c r="C31" s="193" t="n"/>
      <c r="D31" s="193" t="n"/>
      <c r="E31" s="193" t="n"/>
      <c r="F31" s="193" t="n"/>
      <c r="G31" s="193" t="n"/>
    </row>
    <row r="32" customFormat="1" s="194">
      <c r="A32" s="193" t="n"/>
      <c r="B32" s="193" t="n"/>
      <c r="C32" s="193" t="n"/>
      <c r="D32" s="193" t="n"/>
      <c r="E32" s="193" t="n"/>
      <c r="F32" s="193" t="n"/>
      <c r="G32" s="193" t="n"/>
      <c r="H32" s="193" t="n"/>
      <c r="I32" s="193" t="n"/>
      <c r="J32" s="193" t="n"/>
      <c r="K32" s="193" t="n"/>
      <c r="L32" s="193" t="n"/>
      <c r="M32" s="193" t="n"/>
      <c r="N32" s="193" t="n"/>
      <c r="O32" s="193" t="n"/>
      <c r="P32" s="193" t="n"/>
    </row>
    <row r="33">
      <c r="A33" s="193" t="n"/>
      <c r="B33" s="193" t="n"/>
      <c r="C33" s="193" t="n"/>
      <c r="D33" s="193" t="n"/>
      <c r="E33" s="193" t="n"/>
      <c r="F33" s="193" t="n"/>
      <c r="G33" s="193" t="n"/>
    </row>
    <row r="34" customFormat="1" s="194">
      <c r="A34" s="193" t="n"/>
      <c r="B34" s="193" t="n"/>
      <c r="C34" s="193" t="n"/>
      <c r="D34" s="193" t="n"/>
      <c r="E34" s="193" t="n"/>
      <c r="F34" s="193" t="n"/>
      <c r="G34" s="193" t="n"/>
      <c r="H34" s="193" t="n"/>
      <c r="I34" s="193" t="n"/>
      <c r="J34" s="193" t="n"/>
      <c r="K34" s="193" t="n"/>
      <c r="L34" s="193" t="n"/>
      <c r="M34" s="193" t="n"/>
      <c r="N34" s="193" t="n"/>
      <c r="O34" s="193" t="n"/>
      <c r="P34" s="193" t="n"/>
    </row>
    <row r="35" customFormat="1" s="194">
      <c r="A35" s="193" t="n"/>
      <c r="B35" s="193" t="n"/>
      <c r="C35" s="193" t="n"/>
      <c r="D35" s="193" t="n"/>
      <c r="E35" s="193" t="n"/>
      <c r="F35" s="193" t="n"/>
      <c r="G35" s="193" t="n"/>
      <c r="H35" s="193" t="n"/>
      <c r="I35" s="193" t="n"/>
      <c r="J35" s="193" t="n"/>
      <c r="K35" s="193" t="n"/>
      <c r="L35" s="193" t="n"/>
      <c r="M35" s="193" t="n"/>
      <c r="N35" s="193" t="n"/>
      <c r="O35" s="193" t="n"/>
      <c r="P35" s="193" t="n"/>
    </row>
    <row r="36">
      <c r="A36" s="193" t="n"/>
      <c r="B36" s="193" t="n"/>
      <c r="C36" s="193" t="n"/>
      <c r="D36" s="193" t="n"/>
      <c r="E36" s="193" t="n"/>
      <c r="F36" s="193" t="n"/>
      <c r="G36" s="193" t="n"/>
    </row>
    <row r="37" customFormat="1" s="194">
      <c r="A37" s="193" t="n"/>
      <c r="B37" s="193" t="n"/>
      <c r="C37" s="193" t="n"/>
      <c r="D37" s="193" t="n"/>
      <c r="E37" s="193" t="n"/>
      <c r="F37" s="193" t="n"/>
      <c r="G37" s="193" t="n"/>
      <c r="H37" s="193" t="n"/>
      <c r="I37" s="193" t="n"/>
      <c r="J37" s="193" t="n"/>
      <c r="K37" s="193" t="n"/>
      <c r="L37" s="193" t="n"/>
      <c r="M37" s="193" t="n"/>
      <c r="N37" s="193" t="n"/>
      <c r="O37" s="193" t="n"/>
      <c r="P37" s="193" t="n"/>
    </row>
    <row r="38">
      <c r="A38" s="193" t="n"/>
      <c r="B38" s="193" t="n"/>
      <c r="C38" s="193" t="n"/>
      <c r="D38" s="193" t="n"/>
      <c r="E38" s="193" t="n"/>
      <c r="F38" s="193" t="n"/>
      <c r="G38" s="193" t="n"/>
    </row>
    <row r="39" customFormat="1" s="194">
      <c r="A39" s="193" t="n"/>
      <c r="B39" s="193" t="n"/>
      <c r="C39" s="193" t="n"/>
      <c r="D39" s="193" t="n"/>
      <c r="E39" s="193" t="n"/>
      <c r="F39" s="193" t="n"/>
      <c r="G39" s="193" t="n"/>
      <c r="H39" s="193" t="n"/>
      <c r="I39" s="193" t="n"/>
      <c r="J39" s="193" t="n"/>
      <c r="K39" s="193" t="n"/>
      <c r="L39" s="193" t="n"/>
      <c r="M39" s="193" t="n"/>
      <c r="N39" s="193" t="n"/>
      <c r="O39" s="193" t="n"/>
      <c r="P39" s="193" t="n"/>
    </row>
    <row r="40">
      <c r="A40" s="193" t="n"/>
      <c r="B40" s="193" t="n"/>
      <c r="C40" s="193" t="n"/>
      <c r="D40" s="193" t="n"/>
      <c r="E40" s="193" t="n"/>
      <c r="F40" s="193" t="n"/>
      <c r="G40" s="193" t="n"/>
    </row>
    <row r="41" customFormat="1" s="194">
      <c r="A41" s="193" t="n"/>
      <c r="B41" s="193" t="n"/>
      <c r="C41" s="193" t="n"/>
      <c r="D41" s="193" t="n"/>
      <c r="E41" s="193" t="n"/>
      <c r="F41" s="193" t="n"/>
      <c r="G41" s="193" t="n"/>
      <c r="H41" s="193" t="n"/>
      <c r="I41" s="193" t="n"/>
      <c r="J41" s="193" t="n"/>
      <c r="K41" s="193" t="n"/>
      <c r="L41" s="193" t="n"/>
      <c r="M41" s="193" t="n"/>
      <c r="N41" s="193" t="n"/>
      <c r="O41" s="193" t="n"/>
      <c r="P41" s="193" t="n"/>
    </row>
    <row r="42">
      <c r="A42" s="193" t="n"/>
      <c r="B42" s="193" t="n"/>
      <c r="C42" s="193" t="n"/>
      <c r="D42" s="193" t="n"/>
      <c r="E42" s="193" t="n"/>
      <c r="F42" s="193" t="n"/>
      <c r="G42" s="193" t="n"/>
    </row>
    <row r="43" customFormat="1" s="194">
      <c r="A43" s="193" t="n"/>
      <c r="B43" s="193" t="n"/>
      <c r="C43" s="193" t="n"/>
      <c r="D43" s="193" t="n"/>
      <c r="E43" s="193" t="n"/>
      <c r="F43" s="193" t="n"/>
      <c r="G43" s="193" t="n"/>
      <c r="H43" s="193" t="n"/>
      <c r="I43" s="193" t="n"/>
      <c r="J43" s="193" t="n"/>
      <c r="K43" s="193" t="n"/>
      <c r="L43" s="193" t="n"/>
      <c r="M43" s="193" t="n"/>
      <c r="N43" s="193" t="n"/>
      <c r="O43" s="193" t="n"/>
      <c r="P43" s="193" t="n"/>
    </row>
    <row r="44">
      <c r="A44" s="193" t="n"/>
      <c r="B44" s="193" t="n"/>
      <c r="C44" s="193" t="n"/>
      <c r="D44" s="193" t="n"/>
      <c r="E44" s="193" t="n"/>
      <c r="F44" s="193" t="n"/>
      <c r="G44" s="193" t="n"/>
    </row>
    <row r="45" customFormat="1" s="194">
      <c r="A45" s="193" t="n"/>
      <c r="B45" s="193" t="n"/>
      <c r="C45" s="193" t="n"/>
      <c r="D45" s="193" t="n"/>
      <c r="E45" s="193" t="n"/>
      <c r="F45" s="193" t="n"/>
      <c r="G45" s="193" t="n"/>
      <c r="H45" s="193" t="n"/>
      <c r="I45" s="193" t="n"/>
      <c r="J45" s="193" t="n"/>
      <c r="K45" s="193" t="n"/>
      <c r="L45" s="193" t="n"/>
      <c r="M45" s="193" t="n"/>
      <c r="N45" s="193" t="n"/>
      <c r="O45" s="193" t="n"/>
      <c r="P45" s="193" t="n"/>
    </row>
    <row r="46" customFormat="1" s="194">
      <c r="A46" s="193" t="n"/>
      <c r="B46" s="193" t="n"/>
      <c r="C46" s="193" t="n"/>
      <c r="D46" s="193" t="n"/>
      <c r="E46" s="193" t="n"/>
      <c r="F46" s="193" t="n"/>
      <c r="G46" s="193" t="n"/>
      <c r="H46" s="193" t="n"/>
      <c r="I46" s="193" t="n"/>
      <c r="J46" s="193" t="n"/>
      <c r="K46" s="193" t="n"/>
      <c r="L46" s="193" t="n"/>
      <c r="M46" s="193" t="n"/>
      <c r="N46" s="193" t="n"/>
      <c r="O46" s="193" t="n"/>
      <c r="P46" s="193" t="n"/>
    </row>
    <row r="47">
      <c r="A47" s="193" t="n"/>
      <c r="B47" s="193" t="n"/>
      <c r="C47" s="193" t="n"/>
      <c r="D47" s="193" t="n"/>
      <c r="E47" s="193" t="n"/>
      <c r="F47" s="193" t="n"/>
      <c r="G47" s="193" t="n"/>
    </row>
    <row r="48" customFormat="1" s="194">
      <c r="A48" s="193" t="n"/>
      <c r="B48" s="193" t="n"/>
      <c r="C48" s="193" t="n"/>
      <c r="D48" s="193" t="n"/>
      <c r="E48" s="193" t="n"/>
      <c r="F48" s="193" t="n"/>
      <c r="G48" s="193" t="n"/>
      <c r="H48" s="193" t="n"/>
      <c r="I48" s="193" t="n"/>
      <c r="J48" s="193" t="n"/>
      <c r="K48" s="193" t="n"/>
      <c r="L48" s="193" t="n"/>
      <c r="M48" s="193" t="n"/>
      <c r="N48" s="193" t="n"/>
      <c r="O48" s="193" t="n"/>
      <c r="P48" s="193" t="n"/>
    </row>
    <row r="49">
      <c r="A49" s="193" t="n"/>
      <c r="B49" s="193" t="n"/>
      <c r="C49" s="193" t="n"/>
      <c r="D49" s="193" t="n"/>
      <c r="E49" s="193" t="n"/>
      <c r="F49" s="193" t="n"/>
      <c r="G49" s="193" t="n"/>
    </row>
    <row r="50" customFormat="1" s="194">
      <c r="A50" s="193" t="n"/>
      <c r="B50" s="193" t="n"/>
      <c r="C50" s="193" t="n"/>
      <c r="D50" s="193" t="n"/>
      <c r="E50" s="193" t="n"/>
      <c r="F50" s="193" t="n"/>
      <c r="G50" s="193" t="n"/>
      <c r="H50" s="193" t="n"/>
      <c r="I50" s="193" t="n"/>
      <c r="J50" s="193" t="n"/>
      <c r="K50" s="193" t="n"/>
      <c r="L50" s="193" t="n"/>
      <c r="M50" s="193" t="n"/>
      <c r="N50" s="193" t="n"/>
      <c r="O50" s="193" t="n"/>
      <c r="P50" s="193" t="n"/>
    </row>
    <row r="51">
      <c r="A51" s="193" t="n"/>
      <c r="B51" s="193" t="n"/>
      <c r="C51" s="193" t="n"/>
      <c r="D51" s="193" t="n"/>
      <c r="E51" s="193" t="n"/>
      <c r="F51" s="193" t="n"/>
      <c r="G51" s="193" t="n"/>
    </row>
    <row r="52" customFormat="1" s="194">
      <c r="A52" s="193" t="n"/>
      <c r="B52" s="193" t="n"/>
      <c r="C52" s="193" t="n"/>
      <c r="D52" s="193" t="n"/>
      <c r="E52" s="193" t="n"/>
      <c r="F52" s="193" t="n"/>
      <c r="G52" s="193" t="n"/>
      <c r="H52" s="193" t="n"/>
      <c r="I52" s="193" t="n"/>
      <c r="J52" s="193" t="n"/>
      <c r="K52" s="193" t="n"/>
      <c r="L52" s="193" t="n"/>
      <c r="M52" s="193" t="n"/>
      <c r="N52" s="193" t="n"/>
      <c r="O52" s="193" t="n"/>
      <c r="P52" s="193" t="n"/>
    </row>
    <row r="53">
      <c r="A53" s="193" t="n"/>
      <c r="B53" s="193" t="n"/>
      <c r="C53" s="193" t="n"/>
      <c r="D53" s="193" t="n"/>
      <c r="E53" s="193" t="n"/>
      <c r="F53" s="193" t="n"/>
      <c r="G53" s="193" t="n"/>
    </row>
    <row r="54" customFormat="1" s="194">
      <c r="A54" s="193" t="n"/>
      <c r="B54" s="193" t="n"/>
      <c r="C54" s="193" t="n"/>
      <c r="D54" s="193" t="n"/>
      <c r="E54" s="193" t="n"/>
      <c r="F54" s="193" t="n"/>
      <c r="G54" s="193" t="n"/>
      <c r="H54" s="193" t="n"/>
      <c r="I54" s="193" t="n"/>
      <c r="J54" s="193" t="n"/>
      <c r="K54" s="193" t="n"/>
      <c r="L54" s="193" t="n"/>
      <c r="M54" s="193" t="n"/>
      <c r="N54" s="193" t="n"/>
      <c r="O54" s="193" t="n"/>
      <c r="P54" s="193" t="n"/>
    </row>
    <row r="55">
      <c r="A55" s="193" t="n"/>
      <c r="B55" s="193" t="n"/>
      <c r="C55" s="193" t="n"/>
      <c r="D55" s="193" t="n"/>
      <c r="E55" s="193" t="n"/>
      <c r="F55" s="193" t="n"/>
      <c r="G55" s="193" t="n"/>
    </row>
    <row r="56" customFormat="1" s="194">
      <c r="A56" s="193" t="n"/>
      <c r="B56" s="193" t="n"/>
      <c r="C56" s="193" t="n"/>
      <c r="D56" s="193" t="n"/>
      <c r="E56" s="193" t="n"/>
      <c r="F56" s="193" t="n"/>
      <c r="G56" s="193" t="n"/>
      <c r="H56" s="193" t="n"/>
      <c r="I56" s="193" t="n"/>
      <c r="J56" s="193" t="n"/>
      <c r="K56" s="193" t="n"/>
      <c r="L56" s="193" t="n"/>
      <c r="M56" s="193" t="n"/>
      <c r="N56" s="193" t="n"/>
      <c r="O56" s="193" t="n"/>
      <c r="P56" s="193" t="n"/>
    </row>
    <row r="57" customFormat="1" s="194">
      <c r="A57" s="193" t="n"/>
      <c r="B57" s="193" t="n"/>
      <c r="C57" s="193" t="n"/>
      <c r="D57" s="193" t="n"/>
      <c r="E57" s="193" t="n"/>
      <c r="F57" s="193" t="n"/>
      <c r="G57" s="193" t="n"/>
      <c r="H57" s="193" t="n"/>
      <c r="I57" s="193" t="n"/>
      <c r="J57" s="193" t="n"/>
      <c r="K57" s="193" t="n"/>
      <c r="L57" s="193" t="n"/>
      <c r="M57" s="193" t="n"/>
      <c r="N57" s="193" t="n"/>
      <c r="O57" s="193" t="n"/>
      <c r="P57" s="193" t="n"/>
    </row>
    <row r="58">
      <c r="A58" s="193" t="n"/>
      <c r="B58" s="193" t="n"/>
      <c r="C58" s="193" t="n"/>
      <c r="D58" s="193" t="n"/>
      <c r="E58" s="193" t="n"/>
      <c r="F58" s="193" t="n"/>
      <c r="G58" s="193" t="n"/>
    </row>
    <row r="59" customFormat="1" s="194">
      <c r="A59" s="193" t="n"/>
      <c r="B59" s="193" t="n"/>
      <c r="C59" s="193" t="n"/>
      <c r="D59" s="193" t="n"/>
      <c r="E59" s="193" t="n"/>
      <c r="F59" s="193" t="n"/>
      <c r="G59" s="193" t="n"/>
      <c r="H59" s="193" t="n"/>
      <c r="I59" s="193" t="n"/>
      <c r="J59" s="193" t="n"/>
      <c r="K59" s="193" t="n"/>
      <c r="L59" s="193" t="n"/>
      <c r="M59" s="193" t="n"/>
      <c r="N59" s="193" t="n"/>
      <c r="O59" s="193" t="n"/>
      <c r="P59" s="193" t="n"/>
    </row>
    <row r="60">
      <c r="A60" s="193" t="n"/>
      <c r="B60" s="193" t="n"/>
      <c r="C60" s="193" t="n"/>
      <c r="D60" s="193" t="n"/>
      <c r="E60" s="193" t="n"/>
      <c r="F60" s="193" t="n"/>
      <c r="G60" s="193" t="n"/>
    </row>
    <row r="61" customFormat="1" s="194">
      <c r="A61" s="193" t="n"/>
      <c r="B61" s="193" t="n"/>
      <c r="C61" s="193" t="n"/>
      <c r="D61" s="193" t="n"/>
      <c r="E61" s="193" t="n"/>
      <c r="F61" s="193" t="n"/>
      <c r="G61" s="193" t="n"/>
      <c r="H61" s="193" t="n"/>
      <c r="I61" s="193" t="n"/>
      <c r="J61" s="193" t="n"/>
      <c r="K61" s="193" t="n"/>
      <c r="L61" s="193" t="n"/>
      <c r="M61" s="193" t="n"/>
      <c r="N61" s="193" t="n"/>
      <c r="O61" s="193" t="n"/>
      <c r="P61" s="193" t="n"/>
    </row>
    <row r="62">
      <c r="A62" s="193" t="n"/>
      <c r="B62" s="193" t="n"/>
      <c r="C62" s="193" t="n"/>
      <c r="D62" s="193" t="n"/>
      <c r="E62" s="193" t="n"/>
      <c r="F62" s="193" t="n"/>
      <c r="G62" s="193" t="n"/>
    </row>
    <row r="63" customFormat="1" s="194">
      <c r="A63" s="193" t="n"/>
      <c r="B63" s="193" t="n"/>
      <c r="C63" s="193" t="n"/>
      <c r="D63" s="193" t="n"/>
      <c r="E63" s="193" t="n"/>
      <c r="F63" s="193" t="n"/>
      <c r="G63" s="193" t="n"/>
      <c r="H63" s="193" t="n"/>
      <c r="I63" s="193" t="n"/>
      <c r="J63" s="193" t="n"/>
      <c r="K63" s="193" t="n"/>
      <c r="L63" s="193" t="n"/>
      <c r="M63" s="193" t="n"/>
      <c r="N63" s="193" t="n"/>
      <c r="O63" s="193" t="n"/>
      <c r="P63" s="193" t="n"/>
    </row>
    <row r="64">
      <c r="A64" s="193" t="n"/>
      <c r="B64" s="193" t="n"/>
      <c r="C64" s="193" t="n"/>
      <c r="D64" s="193" t="n"/>
      <c r="E64" s="193" t="n"/>
      <c r="F64" s="193" t="n"/>
      <c r="G64" s="193" t="n"/>
    </row>
    <row r="65" customFormat="1" s="194">
      <c r="A65" s="193" t="n"/>
      <c r="B65" s="193" t="n"/>
      <c r="C65" s="193" t="n"/>
      <c r="D65" s="193" t="n"/>
      <c r="E65" s="193" t="n"/>
      <c r="F65" s="193" t="n"/>
      <c r="G65" s="193" t="n"/>
      <c r="H65" s="193" t="n"/>
      <c r="I65" s="193" t="n"/>
      <c r="J65" s="193" t="n"/>
      <c r="K65" s="193" t="n"/>
      <c r="L65" s="193" t="n"/>
      <c r="M65" s="193" t="n"/>
      <c r="N65" s="193" t="n"/>
      <c r="O65" s="193" t="n"/>
      <c r="P65" s="193" t="n"/>
    </row>
    <row r="66">
      <c r="A66" s="193" t="n"/>
      <c r="B66" s="193" t="n"/>
      <c r="C66" s="193" t="n"/>
      <c r="D66" s="193" t="n"/>
      <c r="E66" s="193" t="n"/>
      <c r="F66" s="193" t="n"/>
      <c r="G66" s="193" t="n"/>
    </row>
    <row r="67" customFormat="1" s="194">
      <c r="A67" s="193" t="n"/>
      <c r="B67" s="193" t="n"/>
      <c r="C67" s="193" t="n"/>
      <c r="D67" s="193" t="n"/>
      <c r="E67" s="193" t="n"/>
      <c r="F67" s="193" t="n"/>
      <c r="G67" s="193" t="n"/>
      <c r="H67" s="193" t="n"/>
      <c r="I67" s="193" t="n"/>
      <c r="J67" s="193" t="n"/>
      <c r="K67" s="193" t="n"/>
      <c r="L67" s="193" t="n"/>
      <c r="M67" s="193" t="n"/>
      <c r="N67" s="193" t="n"/>
      <c r="O67" s="193" t="n"/>
      <c r="P67" s="193" t="n"/>
    </row>
    <row r="68" customFormat="1" s="194">
      <c r="A68" s="193" t="n"/>
      <c r="B68" s="193" t="n"/>
      <c r="C68" s="193" t="n"/>
      <c r="D68" s="193" t="n"/>
      <c r="E68" s="193" t="n"/>
      <c r="F68" s="193" t="n"/>
      <c r="G68" s="193" t="n"/>
      <c r="H68" s="193" t="n"/>
      <c r="I68" s="193" t="n"/>
      <c r="J68" s="193" t="n"/>
      <c r="K68" s="193" t="n"/>
      <c r="L68" s="193" t="n"/>
      <c r="M68" s="193" t="n"/>
      <c r="N68" s="193" t="n"/>
      <c r="O68" s="193" t="n"/>
      <c r="P68" s="193" t="n"/>
    </row>
    <row r="69">
      <c r="A69" s="193" t="n"/>
      <c r="B69" s="193" t="n"/>
      <c r="C69" s="193" t="n"/>
      <c r="D69" s="193" t="n"/>
      <c r="E69" s="193" t="n"/>
      <c r="F69" s="193" t="n"/>
      <c r="G69" s="193" t="n"/>
    </row>
    <row r="70" customFormat="1" s="194">
      <c r="A70" s="193" t="n"/>
      <c r="B70" s="193" t="n"/>
      <c r="C70" s="193" t="n"/>
      <c r="D70" s="193" t="n"/>
      <c r="E70" s="193" t="n"/>
      <c r="F70" s="193" t="n"/>
      <c r="G70" s="193" t="n"/>
      <c r="H70" s="193" t="n"/>
      <c r="I70" s="193" t="n"/>
      <c r="J70" s="193" t="n"/>
      <c r="K70" s="193" t="n"/>
      <c r="L70" s="193" t="n"/>
      <c r="M70" s="193" t="n"/>
      <c r="N70" s="193" t="n"/>
      <c r="O70" s="193" t="n"/>
      <c r="P70" s="193" t="n"/>
    </row>
    <row r="71">
      <c r="A71" s="193" t="n"/>
      <c r="B71" s="193" t="n"/>
      <c r="C71" s="193" t="n"/>
      <c r="D71" s="193" t="n"/>
      <c r="E71" s="193" t="n"/>
      <c r="F71" s="193" t="n"/>
      <c r="G71" s="193" t="n"/>
    </row>
    <row r="72" customFormat="1" s="194">
      <c r="A72" s="193" t="n"/>
      <c r="B72" s="193" t="n"/>
      <c r="C72" s="193" t="n"/>
      <c r="D72" s="193" t="n"/>
      <c r="E72" s="193" t="n"/>
      <c r="F72" s="193" t="n"/>
      <c r="G72" s="193" t="n"/>
      <c r="H72" s="193" t="n"/>
      <c r="I72" s="193" t="n"/>
      <c r="J72" s="193" t="n"/>
      <c r="K72" s="193" t="n"/>
      <c r="L72" s="193" t="n"/>
      <c r="M72" s="193" t="n"/>
      <c r="N72" s="193" t="n"/>
      <c r="O72" s="193" t="n"/>
      <c r="P72" s="193" t="n"/>
    </row>
    <row r="73">
      <c r="A73" s="193" t="n"/>
      <c r="B73" s="193" t="n"/>
      <c r="C73" s="193" t="n"/>
      <c r="D73" s="193" t="n"/>
      <c r="E73" s="193" t="n"/>
      <c r="F73" s="193" t="n"/>
      <c r="G73" s="193" t="n"/>
    </row>
    <row r="74" customFormat="1" s="194">
      <c r="A74" s="193" t="n"/>
      <c r="B74" s="193" t="n"/>
      <c r="C74" s="193" t="n"/>
      <c r="D74" s="193" t="n"/>
      <c r="E74" s="193" t="n"/>
      <c r="F74" s="193" t="n"/>
      <c r="G74" s="193" t="n"/>
      <c r="H74" s="193" t="n"/>
      <c r="I74" s="193" t="n"/>
      <c r="J74" s="193" t="n"/>
      <c r="K74" s="193" t="n"/>
      <c r="L74" s="193" t="n"/>
      <c r="M74" s="193" t="n"/>
      <c r="N74" s="193" t="n"/>
      <c r="O74" s="193" t="n"/>
      <c r="P74" s="193" t="n"/>
    </row>
    <row r="75">
      <c r="A75" s="193" t="n"/>
      <c r="B75" s="193" t="n"/>
      <c r="C75" s="193" t="n"/>
      <c r="D75" s="193" t="n"/>
      <c r="E75" s="193" t="n"/>
      <c r="F75" s="193" t="n"/>
      <c r="G75" s="193" t="n"/>
    </row>
    <row r="76" customFormat="1" s="194">
      <c r="A76" s="193" t="n"/>
      <c r="B76" s="193" t="n"/>
      <c r="C76" s="193" t="n"/>
      <c r="D76" s="193" t="n"/>
      <c r="E76" s="193" t="n"/>
      <c r="F76" s="193" t="n"/>
      <c r="G76" s="193" t="n"/>
      <c r="H76" s="193" t="n"/>
      <c r="I76" s="193" t="n"/>
      <c r="J76" s="193" t="n"/>
      <c r="K76" s="193" t="n"/>
      <c r="L76" s="193" t="n"/>
      <c r="M76" s="193" t="n"/>
      <c r="N76" s="193" t="n"/>
      <c r="O76" s="193" t="n"/>
      <c r="P76" s="193" t="n"/>
    </row>
    <row r="77">
      <c r="A77" s="193" t="n"/>
      <c r="B77" s="193" t="n"/>
      <c r="C77" s="193" t="n"/>
      <c r="D77" s="193" t="n"/>
      <c r="E77" s="193" t="n"/>
      <c r="F77" s="193" t="n"/>
      <c r="G77" s="193" t="n"/>
    </row>
    <row r="78" customFormat="1" s="194">
      <c r="A78" s="193" t="n"/>
      <c r="B78" s="193" t="n"/>
      <c r="C78" s="193" t="n"/>
      <c r="D78" s="193" t="n"/>
      <c r="E78" s="193" t="n"/>
      <c r="F78" s="193" t="n"/>
      <c r="G78" s="193" t="n"/>
      <c r="H78" s="193" t="n"/>
      <c r="I78" s="193" t="n"/>
      <c r="J78" s="193" t="n"/>
      <c r="K78" s="193" t="n"/>
      <c r="L78" s="193" t="n"/>
      <c r="M78" s="193" t="n"/>
      <c r="N78" s="193" t="n"/>
      <c r="O78" s="193" t="n"/>
      <c r="P78" s="193" t="n"/>
    </row>
    <row r="79" customFormat="1" s="194">
      <c r="A79" s="193" t="n"/>
      <c r="B79" s="193" t="n"/>
      <c r="C79" s="193" t="n"/>
      <c r="D79" s="193" t="n"/>
      <c r="E79" s="193" t="n"/>
      <c r="F79" s="193" t="n"/>
      <c r="G79" s="193" t="n"/>
      <c r="H79" s="193" t="n"/>
      <c r="I79" s="193" t="n"/>
      <c r="J79" s="193" t="n"/>
      <c r="K79" s="193" t="n"/>
      <c r="L79" s="193" t="n"/>
      <c r="M79" s="193" t="n"/>
      <c r="N79" s="193" t="n"/>
      <c r="O79" s="193" t="n"/>
      <c r="P79" s="193" t="n"/>
    </row>
    <row r="80">
      <c r="A80" s="193" t="n"/>
      <c r="B80" s="193" t="n"/>
      <c r="C80" s="193" t="n"/>
      <c r="D80" s="193" t="n"/>
      <c r="E80" s="193" t="n"/>
      <c r="F80" s="193" t="n"/>
      <c r="G80" s="193" t="n"/>
    </row>
    <row r="81" customFormat="1" s="194">
      <c r="A81" s="193" t="n"/>
      <c r="B81" s="193" t="n"/>
      <c r="C81" s="193" t="n"/>
      <c r="D81" s="193" t="n"/>
      <c r="E81" s="193" t="n"/>
      <c r="F81" s="193" t="n"/>
      <c r="G81" s="193" t="n"/>
      <c r="H81" s="193" t="n"/>
      <c r="I81" s="193" t="n"/>
      <c r="J81" s="193" t="n"/>
      <c r="K81" s="193" t="n"/>
      <c r="L81" s="193" t="n"/>
      <c r="M81" s="193" t="n"/>
      <c r="N81" s="193" t="n"/>
      <c r="O81" s="193" t="n"/>
      <c r="P81" s="193" t="n"/>
    </row>
    <row r="82">
      <c r="A82" s="193" t="n"/>
      <c r="B82" s="193" t="n"/>
      <c r="C82" s="193" t="n"/>
      <c r="D82" s="193" t="n"/>
      <c r="E82" s="193" t="n"/>
      <c r="F82" s="193" t="n"/>
      <c r="G82" s="193" t="n"/>
    </row>
    <row r="83" customFormat="1" s="194">
      <c r="A83" s="193" t="n"/>
      <c r="B83" s="193" t="n"/>
      <c r="C83" s="193" t="n"/>
      <c r="D83" s="193" t="n"/>
      <c r="E83" s="193" t="n"/>
      <c r="F83" s="193" t="n"/>
      <c r="G83" s="193" t="n"/>
      <c r="H83" s="193" t="n"/>
      <c r="I83" s="193" t="n"/>
      <c r="J83" s="193" t="n"/>
      <c r="K83" s="193" t="n"/>
      <c r="L83" s="193" t="n"/>
      <c r="M83" s="193" t="n"/>
      <c r="N83" s="193" t="n"/>
      <c r="O83" s="193" t="n"/>
      <c r="P83" s="193" t="n"/>
    </row>
    <row r="84">
      <c r="A84" s="193" t="n"/>
      <c r="B84" s="193" t="n"/>
      <c r="C84" s="193" t="n"/>
      <c r="D84" s="193" t="n"/>
      <c r="E84" s="193" t="n"/>
      <c r="F84" s="193" t="n"/>
      <c r="G84" s="193" t="n"/>
    </row>
    <row r="85" customFormat="1" s="194">
      <c r="A85" s="193" t="n"/>
      <c r="B85" s="193" t="n"/>
      <c r="C85" s="193" t="n"/>
      <c r="D85" s="193" t="n"/>
      <c r="E85" s="193" t="n"/>
      <c r="F85" s="193" t="n"/>
      <c r="G85" s="193" t="n"/>
      <c r="H85" s="193" t="n"/>
      <c r="I85" s="193" t="n"/>
      <c r="J85" s="193" t="n"/>
      <c r="K85" s="193" t="n"/>
      <c r="L85" s="193" t="n"/>
      <c r="M85" s="193" t="n"/>
      <c r="N85" s="193" t="n"/>
      <c r="O85" s="193" t="n"/>
      <c r="P85" s="193" t="n"/>
    </row>
    <row r="86">
      <c r="A86" s="193" t="n"/>
      <c r="B86" s="193" t="n"/>
      <c r="C86" s="193" t="n"/>
      <c r="D86" s="193" t="n"/>
      <c r="E86" s="193" t="n"/>
      <c r="F86" s="193" t="n"/>
      <c r="G86" s="193" t="n"/>
    </row>
    <row r="87" customFormat="1" s="194">
      <c r="A87" s="193" t="n"/>
      <c r="B87" s="193" t="n"/>
      <c r="C87" s="193" t="n"/>
      <c r="D87" s="193" t="n"/>
      <c r="E87" s="193" t="n"/>
      <c r="F87" s="193" t="n"/>
      <c r="G87" s="193" t="n"/>
      <c r="H87" s="193" t="n"/>
      <c r="I87" s="193" t="n"/>
      <c r="J87" s="193" t="n"/>
      <c r="K87" s="193" t="n"/>
      <c r="L87" s="193" t="n"/>
      <c r="M87" s="193" t="n"/>
      <c r="N87" s="193" t="n"/>
      <c r="O87" s="193" t="n"/>
      <c r="P87" s="193" t="n"/>
    </row>
    <row r="88">
      <c r="A88" s="193" t="n"/>
      <c r="B88" s="193" t="n"/>
      <c r="C88" s="193" t="n"/>
      <c r="D88" s="193" t="n"/>
      <c r="E88" s="193" t="n"/>
      <c r="F88" s="193" t="n"/>
      <c r="G88" s="193" t="n"/>
    </row>
    <row r="89" customFormat="1" s="194">
      <c r="A89" s="193" t="n"/>
      <c r="B89" s="193" t="n"/>
      <c r="C89" s="193" t="n"/>
      <c r="D89" s="193" t="n"/>
      <c r="E89" s="193" t="n"/>
      <c r="F89" s="193" t="n"/>
      <c r="G89" s="193" t="n"/>
      <c r="H89" s="193" t="n"/>
      <c r="I89" s="193" t="n"/>
      <c r="J89" s="193" t="n"/>
      <c r="K89" s="193" t="n"/>
      <c r="L89" s="193" t="n"/>
      <c r="M89" s="193" t="n"/>
      <c r="N89" s="193" t="n"/>
      <c r="O89" s="193" t="n"/>
      <c r="P89" s="193" t="n"/>
    </row>
    <row r="90" customFormat="1" s="194">
      <c r="A90" s="193" t="n"/>
      <c r="B90" s="193" t="n"/>
      <c r="C90" s="193" t="n"/>
      <c r="D90" s="193" t="n"/>
      <c r="E90" s="193" t="n"/>
      <c r="F90" s="193" t="n"/>
      <c r="G90" s="193" t="n"/>
      <c r="H90" s="193" t="n"/>
      <c r="I90" s="193" t="n"/>
      <c r="J90" s="193" t="n"/>
      <c r="K90" s="193" t="n"/>
      <c r="L90" s="193" t="n"/>
      <c r="M90" s="193" t="n"/>
      <c r="N90" s="193" t="n"/>
      <c r="O90" s="193" t="n"/>
      <c r="P90" s="193" t="n"/>
    </row>
    <row r="91">
      <c r="A91" s="193" t="n"/>
      <c r="B91" s="193" t="n"/>
      <c r="C91" s="193" t="n"/>
      <c r="D91" s="193" t="n"/>
      <c r="E91" s="193" t="n"/>
      <c r="F91" s="193" t="n"/>
      <c r="G91" s="193" t="n"/>
    </row>
    <row r="92" customFormat="1" s="194">
      <c r="A92" s="193" t="n"/>
      <c r="B92" s="193" t="n"/>
      <c r="C92" s="193" t="n"/>
      <c r="D92" s="193" t="n"/>
      <c r="E92" s="193" t="n"/>
      <c r="F92" s="193" t="n"/>
      <c r="G92" s="193" t="n"/>
      <c r="H92" s="193" t="n"/>
      <c r="I92" s="193" t="n"/>
      <c r="J92" s="193" t="n"/>
      <c r="K92" s="193" t="n"/>
      <c r="L92" s="193" t="n"/>
      <c r="M92" s="193" t="n"/>
      <c r="N92" s="193" t="n"/>
      <c r="O92" s="193" t="n"/>
      <c r="P92" s="193" t="n"/>
    </row>
    <row r="93">
      <c r="A93" s="193" t="n"/>
      <c r="B93" s="193" t="n"/>
      <c r="C93" s="193" t="n"/>
      <c r="D93" s="193" t="n"/>
      <c r="E93" s="193" t="n"/>
      <c r="F93" s="193" t="n"/>
      <c r="G93" s="193" t="n"/>
    </row>
    <row r="94" customFormat="1" s="194">
      <c r="A94" s="193" t="n"/>
      <c r="B94" s="193" t="n"/>
      <c r="C94" s="193" t="n"/>
      <c r="D94" s="193" t="n"/>
      <c r="E94" s="193" t="n"/>
      <c r="F94" s="193" t="n"/>
      <c r="G94" s="193" t="n"/>
      <c r="H94" s="193" t="n"/>
      <c r="I94" s="193" t="n"/>
      <c r="J94" s="193" t="n"/>
      <c r="K94" s="193" t="n"/>
      <c r="L94" s="193" t="n"/>
      <c r="M94" s="193" t="n"/>
      <c r="N94" s="193" t="n"/>
      <c r="O94" s="193" t="n"/>
      <c r="P94" s="193" t="n"/>
    </row>
    <row r="95">
      <c r="A95" s="193" t="n"/>
      <c r="B95" s="193" t="n"/>
      <c r="C95" s="193" t="n"/>
      <c r="D95" s="193" t="n"/>
      <c r="E95" s="193" t="n"/>
      <c r="F95" s="193" t="n"/>
      <c r="G95" s="193" t="n"/>
    </row>
    <row r="96" customFormat="1" s="194">
      <c r="A96" s="193" t="n"/>
      <c r="B96" s="193" t="n"/>
      <c r="C96" s="193" t="n"/>
      <c r="D96" s="193" t="n"/>
      <c r="E96" s="193" t="n"/>
      <c r="F96" s="193" t="n"/>
      <c r="G96" s="193" t="n"/>
      <c r="H96" s="193" t="n"/>
      <c r="I96" s="193" t="n"/>
      <c r="J96" s="193" t="n"/>
      <c r="K96" s="193" t="n"/>
      <c r="L96" s="193" t="n"/>
      <c r="M96" s="193" t="n"/>
      <c r="N96" s="193" t="n"/>
      <c r="O96" s="193" t="n"/>
      <c r="P96" s="193" t="n"/>
    </row>
    <row r="97">
      <c r="A97" s="193" t="n"/>
      <c r="B97" s="193" t="n"/>
      <c r="C97" s="193" t="n"/>
      <c r="D97" s="193" t="n"/>
      <c r="E97" s="193" t="n"/>
      <c r="F97" s="193" t="n"/>
      <c r="G97" s="193" t="n"/>
    </row>
    <row r="98" customFormat="1" s="194">
      <c r="A98" s="193" t="n"/>
      <c r="B98" s="193" t="n"/>
      <c r="C98" s="193" t="n"/>
      <c r="D98" s="193" t="n"/>
      <c r="E98" s="193" t="n"/>
      <c r="F98" s="193" t="n"/>
      <c r="G98" s="193" t="n"/>
      <c r="H98" s="193" t="n"/>
      <c r="I98" s="193" t="n"/>
      <c r="J98" s="193" t="n"/>
      <c r="K98" s="193" t="n"/>
      <c r="L98" s="193" t="n"/>
      <c r="M98" s="193" t="n"/>
      <c r="N98" s="193" t="n"/>
      <c r="O98" s="193" t="n"/>
      <c r="P98" s="193" t="n"/>
    </row>
    <row r="99">
      <c r="A99" s="193" t="n"/>
      <c r="B99" s="193" t="n"/>
      <c r="C99" s="193" t="n"/>
      <c r="D99" s="193" t="n"/>
      <c r="E99" s="193" t="n"/>
      <c r="F99" s="193" t="n"/>
      <c r="G99" s="193" t="n"/>
    </row>
    <row r="100" customFormat="1" s="194">
      <c r="A100" s="193" t="n"/>
      <c r="B100" s="193" t="n"/>
      <c r="C100" s="193" t="n"/>
      <c r="D100" s="193" t="n"/>
      <c r="E100" s="193" t="n"/>
      <c r="F100" s="193" t="n"/>
      <c r="G100" s="193" t="n"/>
      <c r="H100" s="193" t="n"/>
      <c r="I100" s="193" t="n"/>
      <c r="J100" s="193" t="n"/>
      <c r="K100" s="193" t="n"/>
      <c r="L100" s="193" t="n"/>
      <c r="M100" s="193" t="n"/>
      <c r="N100" s="193" t="n"/>
      <c r="O100" s="193" t="n"/>
      <c r="P100" s="193" t="n"/>
    </row>
    <row r="101" customFormat="1" s="194">
      <c r="A101" s="193" t="n"/>
      <c r="B101" s="193" t="n"/>
      <c r="C101" s="193" t="n"/>
      <c r="D101" s="193" t="n"/>
      <c r="E101" s="193" t="n"/>
      <c r="F101" s="193" t="n"/>
      <c r="G101" s="193" t="n"/>
      <c r="H101" s="193" t="n"/>
      <c r="I101" s="193" t="n"/>
      <c r="J101" s="193" t="n"/>
      <c r="K101" s="193" t="n"/>
      <c r="L101" s="193" t="n"/>
      <c r="M101" s="193" t="n"/>
      <c r="N101" s="193" t="n"/>
      <c r="O101" s="193" t="n"/>
      <c r="P101" s="193" t="n"/>
    </row>
    <row r="102">
      <c r="A102" s="193" t="n"/>
      <c r="B102" s="193" t="n"/>
      <c r="C102" s="193" t="n"/>
      <c r="D102" s="193" t="n"/>
      <c r="E102" s="193" t="n"/>
      <c r="F102" s="193" t="n"/>
      <c r="G102" s="193" t="n"/>
    </row>
    <row r="103" customFormat="1" s="194">
      <c r="A103" s="193" t="n"/>
      <c r="B103" s="193" t="n"/>
      <c r="C103" s="193" t="n"/>
      <c r="D103" s="193" t="n"/>
      <c r="E103" s="193" t="n"/>
      <c r="F103" s="193" t="n"/>
      <c r="G103" s="193" t="n"/>
      <c r="H103" s="193" t="n"/>
      <c r="I103" s="193" t="n"/>
      <c r="J103" s="193" t="n"/>
      <c r="K103" s="193" t="n"/>
      <c r="L103" s="193" t="n"/>
      <c r="M103" s="193" t="n"/>
      <c r="N103" s="193" t="n"/>
      <c r="O103" s="193" t="n"/>
      <c r="P103" s="193" t="n"/>
    </row>
    <row r="104">
      <c r="A104" s="193" t="n"/>
      <c r="B104" s="193" t="n"/>
      <c r="C104" s="193" t="n"/>
      <c r="D104" s="193" t="n"/>
      <c r="E104" s="193" t="n"/>
      <c r="F104" s="193" t="n"/>
      <c r="G104" s="193" t="n"/>
    </row>
    <row r="105" customFormat="1" s="194">
      <c r="A105" s="193" t="n"/>
      <c r="B105" s="193" t="n"/>
      <c r="C105" s="193" t="n"/>
      <c r="D105" s="193" t="n"/>
      <c r="E105" s="193" t="n"/>
      <c r="F105" s="193" t="n"/>
      <c r="G105" s="193" t="n"/>
      <c r="H105" s="193" t="n"/>
      <c r="I105" s="193" t="n"/>
      <c r="J105" s="193" t="n"/>
      <c r="K105" s="193" t="n"/>
      <c r="L105" s="193" t="n"/>
      <c r="M105" s="193" t="n"/>
      <c r="N105" s="193" t="n"/>
      <c r="O105" s="193" t="n"/>
      <c r="P105" s="193" t="n"/>
    </row>
    <row r="106">
      <c r="A106" s="193" t="n"/>
      <c r="B106" s="193" t="n"/>
      <c r="C106" s="193" t="n"/>
      <c r="D106" s="193" t="n"/>
      <c r="E106" s="193" t="n"/>
      <c r="F106" s="193" t="n"/>
      <c r="G106" s="193" t="n"/>
    </row>
    <row r="107" customFormat="1" s="194">
      <c r="A107" s="193" t="n"/>
      <c r="B107" s="193" t="n"/>
      <c r="C107" s="193" t="n"/>
      <c r="D107" s="193" t="n"/>
      <c r="E107" s="193" t="n"/>
      <c r="F107" s="193" t="n"/>
      <c r="G107" s="193" t="n"/>
      <c r="H107" s="193" t="n"/>
      <c r="I107" s="193" t="n"/>
      <c r="J107" s="193" t="n"/>
      <c r="K107" s="193" t="n"/>
      <c r="L107" s="193" t="n"/>
      <c r="M107" s="193" t="n"/>
      <c r="N107" s="193" t="n"/>
      <c r="O107" s="193" t="n"/>
      <c r="P107" s="193" t="n"/>
    </row>
    <row r="108">
      <c r="A108" s="193" t="n"/>
      <c r="B108" s="193" t="n"/>
      <c r="C108" s="193" t="n"/>
      <c r="D108" s="193" t="n"/>
      <c r="E108" s="193" t="n"/>
      <c r="F108" s="193" t="n"/>
      <c r="G108" s="193" t="n"/>
    </row>
    <row r="109" customFormat="1" s="194">
      <c r="A109" s="193" t="n"/>
      <c r="B109" s="193" t="n"/>
      <c r="C109" s="193" t="n"/>
      <c r="D109" s="193" t="n"/>
      <c r="E109" s="193" t="n"/>
      <c r="F109" s="193" t="n"/>
      <c r="G109" s="193" t="n"/>
      <c r="H109" s="193" t="n"/>
      <c r="I109" s="193" t="n"/>
      <c r="J109" s="193" t="n"/>
      <c r="K109" s="193" t="n"/>
      <c r="L109" s="193" t="n"/>
      <c r="M109" s="193" t="n"/>
      <c r="N109" s="193" t="n"/>
      <c r="O109" s="193" t="n"/>
      <c r="P109" s="193" t="n"/>
    </row>
    <row r="110">
      <c r="A110" s="193" t="n"/>
      <c r="B110" s="193" t="n"/>
      <c r="C110" s="193" t="n"/>
      <c r="D110" s="193" t="n"/>
      <c r="E110" s="193" t="n"/>
      <c r="F110" s="193" t="n"/>
      <c r="G110" s="193" t="n"/>
    </row>
    <row r="111" customFormat="1" s="194">
      <c r="A111" s="193" t="n"/>
      <c r="B111" s="193" t="n"/>
      <c r="C111" s="193" t="n"/>
      <c r="D111" s="193" t="n"/>
      <c r="E111" s="193" t="n"/>
      <c r="F111" s="193" t="n"/>
      <c r="G111" s="193" t="n"/>
      <c r="H111" s="193" t="n"/>
      <c r="I111" s="193" t="n"/>
      <c r="J111" s="193" t="n"/>
      <c r="K111" s="193" t="n"/>
      <c r="L111" s="193" t="n"/>
      <c r="M111" s="193" t="n"/>
      <c r="N111" s="193" t="n"/>
      <c r="O111" s="193" t="n"/>
      <c r="P111" s="193" t="n"/>
    </row>
    <row r="112" customFormat="1" s="194">
      <c r="A112" s="193" t="n"/>
      <c r="B112" s="193" t="n"/>
      <c r="C112" s="193" t="n"/>
      <c r="D112" s="193" t="n"/>
      <c r="E112" s="193" t="n"/>
      <c r="F112" s="193" t="n"/>
      <c r="G112" s="193" t="n"/>
      <c r="H112" s="193" t="n"/>
      <c r="I112" s="193" t="n"/>
      <c r="J112" s="193" t="n"/>
      <c r="K112" s="193" t="n"/>
      <c r="L112" s="193" t="n"/>
      <c r="M112" s="193" t="n"/>
      <c r="N112" s="193" t="n"/>
      <c r="O112" s="193" t="n"/>
      <c r="P112" s="193" t="n"/>
    </row>
    <row r="113">
      <c r="A113" s="193" t="n"/>
      <c r="B113" s="193" t="n"/>
      <c r="C113" s="193" t="n"/>
      <c r="D113" s="193" t="n"/>
      <c r="E113" s="193" t="n"/>
      <c r="F113" s="193" t="n"/>
      <c r="G113" s="193" t="n"/>
    </row>
    <row r="114" customFormat="1" s="194">
      <c r="A114" s="193" t="n"/>
      <c r="B114" s="193" t="n"/>
      <c r="C114" s="193" t="n"/>
      <c r="D114" s="193" t="n"/>
      <c r="E114" s="193" t="n"/>
      <c r="F114" s="193" t="n"/>
      <c r="G114" s="193" t="n"/>
      <c r="H114" s="193" t="n"/>
      <c r="I114" s="193" t="n"/>
      <c r="J114" s="193" t="n"/>
      <c r="K114" s="193" t="n"/>
      <c r="L114" s="193" t="n"/>
      <c r="M114" s="193" t="n"/>
      <c r="N114" s="193" t="n"/>
      <c r="O114" s="193" t="n"/>
      <c r="P114" s="193" t="n"/>
    </row>
    <row r="115">
      <c r="A115" s="193" t="n"/>
      <c r="B115" s="193" t="n"/>
      <c r="C115" s="193" t="n"/>
      <c r="D115" s="193" t="n"/>
      <c r="E115" s="193" t="n"/>
      <c r="F115" s="193" t="n"/>
      <c r="G115" s="193" t="n"/>
    </row>
    <row r="116" customFormat="1" s="194">
      <c r="A116" s="193" t="n"/>
      <c r="B116" s="193" t="n"/>
      <c r="C116" s="193" t="n"/>
      <c r="D116" s="193" t="n"/>
      <c r="E116" s="193" t="n"/>
      <c r="F116" s="193" t="n"/>
      <c r="G116" s="193" t="n"/>
      <c r="H116" s="193" t="n"/>
      <c r="I116" s="193" t="n"/>
      <c r="J116" s="193" t="n"/>
      <c r="K116" s="193" t="n"/>
      <c r="L116" s="193" t="n"/>
      <c r="M116" s="193" t="n"/>
      <c r="N116" s="193" t="n"/>
      <c r="O116" s="193" t="n"/>
      <c r="P116" s="193" t="n"/>
    </row>
    <row r="117">
      <c r="A117" s="193" t="n"/>
      <c r="B117" s="193" t="n"/>
      <c r="C117" s="193" t="n"/>
      <c r="D117" s="193" t="n"/>
      <c r="E117" s="193" t="n"/>
      <c r="F117" s="193" t="n"/>
      <c r="G117" s="193" t="n"/>
    </row>
    <row r="118" customFormat="1" s="194">
      <c r="A118" s="193" t="n"/>
      <c r="B118" s="193" t="n"/>
      <c r="C118" s="193" t="n"/>
      <c r="D118" s="193" t="n"/>
      <c r="E118" s="193" t="n"/>
      <c r="F118" s="193" t="n"/>
      <c r="G118" s="193" t="n"/>
      <c r="H118" s="193" t="n"/>
      <c r="I118" s="193" t="n"/>
      <c r="J118" s="193" t="n"/>
      <c r="K118" s="193" t="n"/>
      <c r="L118" s="193" t="n"/>
      <c r="M118" s="193" t="n"/>
      <c r="N118" s="193" t="n"/>
      <c r="O118" s="193" t="n"/>
      <c r="P118" s="193" t="n"/>
    </row>
    <row r="119">
      <c r="A119" s="193" t="n"/>
      <c r="B119" s="193" t="n"/>
      <c r="C119" s="193" t="n"/>
      <c r="D119" s="193" t="n"/>
      <c r="E119" s="193" t="n"/>
      <c r="F119" s="193" t="n"/>
      <c r="G119" s="193" t="n"/>
    </row>
    <row r="120" customFormat="1" s="194">
      <c r="A120" s="193" t="n"/>
      <c r="B120" s="193" t="n"/>
      <c r="C120" s="193" t="n"/>
      <c r="D120" s="193" t="n"/>
      <c r="E120" s="193" t="n"/>
      <c r="F120" s="193" t="n"/>
      <c r="G120" s="193" t="n"/>
      <c r="H120" s="193" t="n"/>
      <c r="I120" s="193" t="n"/>
      <c r="J120" s="193" t="n"/>
      <c r="K120" s="193" t="n"/>
      <c r="L120" s="193" t="n"/>
      <c r="M120" s="193" t="n"/>
      <c r="N120" s="193" t="n"/>
      <c r="O120" s="193" t="n"/>
      <c r="P120" s="193" t="n"/>
    </row>
    <row r="121">
      <c r="A121" s="193" t="n"/>
      <c r="B121" s="193" t="n"/>
      <c r="C121" s="193" t="n"/>
      <c r="D121" s="193" t="n"/>
      <c r="E121" s="193" t="n"/>
      <c r="F121" s="193" t="n"/>
      <c r="G121" s="193" t="n"/>
    </row>
    <row r="122" customFormat="1" s="194">
      <c r="A122" s="193" t="n"/>
      <c r="B122" s="193" t="n"/>
      <c r="C122" s="193" t="n"/>
      <c r="D122" s="193" t="n"/>
      <c r="E122" s="193" t="n"/>
      <c r="F122" s="193" t="n"/>
      <c r="G122" s="193" t="n"/>
      <c r="H122" s="193" t="n"/>
      <c r="I122" s="193" t="n"/>
      <c r="J122" s="193" t="n"/>
      <c r="K122" s="193" t="n"/>
      <c r="L122" s="193" t="n"/>
      <c r="M122" s="193" t="n"/>
      <c r="N122" s="193" t="n"/>
      <c r="O122" s="193" t="n"/>
      <c r="P122" s="193" t="n"/>
    </row>
    <row r="123" customFormat="1" s="194">
      <c r="A123" s="193" t="n"/>
      <c r="B123" s="193" t="n"/>
      <c r="C123" s="193" t="n"/>
      <c r="D123" s="193" t="n"/>
      <c r="E123" s="193" t="n"/>
      <c r="F123" s="193" t="n"/>
      <c r="G123" s="193" t="n"/>
      <c r="H123" s="193" t="n"/>
      <c r="I123" s="193" t="n"/>
      <c r="J123" s="193" t="n"/>
      <c r="K123" s="193" t="n"/>
      <c r="L123" s="193" t="n"/>
      <c r="M123" s="193" t="n"/>
      <c r="N123" s="193" t="n"/>
      <c r="O123" s="193" t="n"/>
      <c r="P123" s="193" t="n"/>
    </row>
    <row r="124">
      <c r="A124" s="193" t="n"/>
      <c r="B124" s="193" t="n"/>
      <c r="C124" s="193" t="n"/>
      <c r="D124" s="193" t="n"/>
      <c r="E124" s="193" t="n"/>
      <c r="F124" s="193" t="n"/>
      <c r="G124" s="193" t="n"/>
    </row>
    <row r="125" customFormat="1" s="194">
      <c r="A125" s="193" t="n"/>
      <c r="B125" s="193" t="n"/>
      <c r="C125" s="193" t="n"/>
      <c r="D125" s="193" t="n"/>
      <c r="E125" s="193" t="n"/>
      <c r="F125" s="193" t="n"/>
      <c r="G125" s="193" t="n"/>
      <c r="H125" s="193" t="n"/>
      <c r="I125" s="193" t="n"/>
      <c r="J125" s="193" t="n"/>
      <c r="K125" s="193" t="n"/>
      <c r="L125" s="193" t="n"/>
      <c r="M125" s="193" t="n"/>
      <c r="N125" s="193" t="n"/>
      <c r="O125" s="193" t="n"/>
      <c r="P125" s="193" t="n"/>
    </row>
    <row r="126">
      <c r="A126" s="193" t="n"/>
      <c r="B126" s="193" t="n"/>
      <c r="C126" s="193" t="n"/>
      <c r="D126" s="193" t="n"/>
      <c r="E126" s="193" t="n"/>
      <c r="F126" s="193" t="n"/>
      <c r="G126" s="193" t="n"/>
    </row>
    <row r="127" customFormat="1" s="194">
      <c r="A127" s="193" t="n"/>
      <c r="B127" s="193" t="n"/>
      <c r="C127" s="193" t="n"/>
      <c r="D127" s="193" t="n"/>
      <c r="E127" s="193" t="n"/>
      <c r="F127" s="193" t="n"/>
      <c r="G127" s="193" t="n"/>
      <c r="H127" s="193" t="n"/>
      <c r="I127" s="193" t="n"/>
      <c r="J127" s="193" t="n"/>
      <c r="K127" s="193" t="n"/>
      <c r="L127" s="193" t="n"/>
      <c r="M127" s="193" t="n"/>
      <c r="N127" s="193" t="n"/>
      <c r="O127" s="193" t="n"/>
      <c r="P127" s="193" t="n"/>
    </row>
    <row r="128">
      <c r="A128" s="193" t="n"/>
      <c r="B128" s="193" t="n"/>
      <c r="C128" s="193" t="n"/>
      <c r="D128" s="193" t="n"/>
      <c r="E128" s="193" t="n"/>
      <c r="F128" s="193" t="n"/>
      <c r="G128" s="193" t="n"/>
    </row>
    <row r="129" customFormat="1" s="194">
      <c r="A129" s="193" t="n"/>
      <c r="B129" s="193" t="n"/>
      <c r="C129" s="193" t="n"/>
      <c r="D129" s="193" t="n"/>
      <c r="E129" s="193" t="n"/>
      <c r="F129" s="193" t="n"/>
      <c r="G129" s="193" t="n"/>
      <c r="H129" s="193" t="n"/>
      <c r="I129" s="193" t="n"/>
      <c r="J129" s="193" t="n"/>
      <c r="K129" s="193" t="n"/>
      <c r="L129" s="193" t="n"/>
      <c r="M129" s="193" t="n"/>
      <c r="N129" s="193" t="n"/>
      <c r="O129" s="193" t="n"/>
      <c r="P129" s="193" t="n"/>
    </row>
    <row r="130">
      <c r="A130" s="193" t="n"/>
      <c r="B130" s="193" t="n"/>
      <c r="C130" s="193" t="n"/>
      <c r="D130" s="193" t="n"/>
      <c r="E130" s="193" t="n"/>
      <c r="F130" s="193" t="n"/>
      <c r="G130" s="193" t="n"/>
    </row>
    <row r="131" customFormat="1" s="194">
      <c r="A131" s="193" t="n"/>
      <c r="B131" s="193" t="n"/>
      <c r="C131" s="193" t="n"/>
      <c r="D131" s="193" t="n"/>
      <c r="E131" s="193" t="n"/>
      <c r="F131" s="193" t="n"/>
      <c r="G131" s="193" t="n"/>
      <c r="H131" s="193" t="n"/>
      <c r="I131" s="193" t="n"/>
      <c r="J131" s="193" t="n"/>
      <c r="K131" s="193" t="n"/>
      <c r="L131" s="193" t="n"/>
      <c r="M131" s="193" t="n"/>
      <c r="N131" s="193" t="n"/>
      <c r="O131" s="193" t="n"/>
      <c r="P131" s="193" t="n"/>
    </row>
    <row r="132">
      <c r="A132" s="193" t="n"/>
      <c r="B132" s="193" t="n"/>
      <c r="C132" s="193" t="n"/>
      <c r="D132" s="193" t="n"/>
      <c r="E132" s="193" t="n"/>
      <c r="F132" s="193" t="n"/>
      <c r="G132" s="193" t="n"/>
    </row>
    <row r="133" customFormat="1" s="194">
      <c r="A133" s="193" t="n"/>
      <c r="B133" s="193" t="n"/>
      <c r="C133" s="193" t="n"/>
      <c r="D133" s="193" t="n"/>
      <c r="E133" s="193" t="n"/>
      <c r="F133" s="193" t="n"/>
      <c r="G133" s="193" t="n"/>
      <c r="H133" s="193" t="n"/>
      <c r="I133" s="193" t="n"/>
      <c r="J133" s="193" t="n"/>
      <c r="K133" s="193" t="n"/>
      <c r="L133" s="193" t="n"/>
      <c r="M133" s="193" t="n"/>
      <c r="N133" s="193" t="n"/>
      <c r="O133" s="193" t="n"/>
      <c r="P133" s="193" t="n"/>
    </row>
    <row r="134" customFormat="1" s="194">
      <c r="A134" s="193" t="n"/>
      <c r="B134" s="193" t="n"/>
      <c r="C134" s="193" t="n"/>
      <c r="D134" s="193" t="n"/>
      <c r="E134" s="193" t="n"/>
      <c r="F134" s="193" t="n"/>
      <c r="G134" s="193" t="n"/>
      <c r="H134" s="193" t="n"/>
      <c r="I134" s="193" t="n"/>
      <c r="J134" s="193" t="n"/>
      <c r="K134" s="193" t="n"/>
      <c r="L134" s="193" t="n"/>
      <c r="M134" s="193" t="n"/>
      <c r="N134" s="193" t="n"/>
      <c r="O134" s="193" t="n"/>
      <c r="P134" s="193" t="n"/>
    </row>
    <row r="135">
      <c r="A135" s="193" t="n"/>
      <c r="B135" s="193" t="n"/>
      <c r="C135" s="193" t="n"/>
      <c r="D135" s="193" t="n"/>
      <c r="E135" s="193" t="n"/>
      <c r="F135" s="193" t="n"/>
      <c r="G135" s="193" t="n"/>
    </row>
    <row r="136" customFormat="1" s="194">
      <c r="A136" s="193" t="n"/>
      <c r="B136" s="193" t="n"/>
      <c r="C136" s="193" t="n"/>
      <c r="D136" s="193" t="n"/>
      <c r="E136" s="193" t="n"/>
      <c r="F136" s="193" t="n"/>
      <c r="G136" s="193" t="n"/>
      <c r="H136" s="193" t="n"/>
      <c r="I136" s="193" t="n"/>
      <c r="J136" s="193" t="n"/>
      <c r="K136" s="193" t="n"/>
      <c r="L136" s="193" t="n"/>
      <c r="M136" s="193" t="n"/>
      <c r="N136" s="193" t="n"/>
      <c r="O136" s="193" t="n"/>
      <c r="P136" s="193" t="n"/>
    </row>
    <row r="137">
      <c r="A137" s="193" t="n"/>
      <c r="B137" s="193" t="n"/>
      <c r="C137" s="193" t="n"/>
      <c r="D137" s="193" t="n"/>
      <c r="E137" s="193" t="n"/>
      <c r="F137" s="193" t="n"/>
      <c r="G137" s="193" t="n"/>
    </row>
    <row r="138" customFormat="1" s="194">
      <c r="A138" s="193" t="n"/>
      <c r="B138" s="193" t="n"/>
      <c r="C138" s="193" t="n"/>
      <c r="D138" s="193" t="n"/>
      <c r="E138" s="193" t="n"/>
      <c r="F138" s="193" t="n"/>
      <c r="G138" s="193" t="n"/>
      <c r="H138" s="193" t="n"/>
      <c r="I138" s="193" t="n"/>
      <c r="J138" s="193" t="n"/>
      <c r="K138" s="193" t="n"/>
      <c r="L138" s="193" t="n"/>
      <c r="M138" s="193" t="n"/>
      <c r="N138" s="193" t="n"/>
      <c r="O138" s="193" t="n"/>
      <c r="P138" s="193" t="n"/>
    </row>
    <row r="139">
      <c r="A139" s="193" t="n"/>
      <c r="B139" s="193" t="n"/>
      <c r="C139" s="193" t="n"/>
      <c r="D139" s="193" t="n"/>
      <c r="E139" s="193" t="n"/>
      <c r="F139" s="193" t="n"/>
      <c r="G139" s="193" t="n"/>
    </row>
    <row r="140" customFormat="1" s="194">
      <c r="A140" s="193" t="n"/>
      <c r="B140" s="193" t="n"/>
      <c r="C140" s="193" t="n"/>
      <c r="D140" s="193" t="n"/>
      <c r="E140" s="193" t="n"/>
      <c r="F140" s="193" t="n"/>
      <c r="G140" s="193" t="n"/>
      <c r="H140" s="193" t="n"/>
      <c r="I140" s="193" t="n"/>
      <c r="J140" s="193" t="n"/>
      <c r="K140" s="193" t="n"/>
      <c r="L140" s="193" t="n"/>
      <c r="M140" s="193" t="n"/>
      <c r="N140" s="193" t="n"/>
      <c r="O140" s="193" t="n"/>
      <c r="P140" s="193" t="n"/>
    </row>
    <row r="141">
      <c r="A141" s="193" t="n"/>
      <c r="B141" s="193" t="n"/>
      <c r="C141" s="193" t="n"/>
      <c r="D141" s="193" t="n"/>
      <c r="E141" s="193" t="n"/>
      <c r="F141" s="193" t="n"/>
      <c r="G141" s="193" t="n"/>
    </row>
    <row r="142" customFormat="1" s="194">
      <c r="A142" s="193" t="n"/>
      <c r="B142" s="193" t="n"/>
      <c r="C142" s="193" t="n"/>
      <c r="D142" s="193" t="n"/>
      <c r="E142" s="193" t="n"/>
      <c r="F142" s="193" t="n"/>
      <c r="G142" s="193" t="n"/>
      <c r="H142" s="193" t="n"/>
      <c r="I142" s="193" t="n"/>
      <c r="J142" s="193" t="n"/>
      <c r="K142" s="193" t="n"/>
      <c r="L142" s="193" t="n"/>
      <c r="M142" s="193" t="n"/>
      <c r="N142" s="193" t="n"/>
      <c r="O142" s="193" t="n"/>
      <c r="P142" s="193" t="n"/>
    </row>
    <row r="143">
      <c r="A143" s="193" t="n"/>
      <c r="B143" s="193" t="n"/>
      <c r="C143" s="193" t="n"/>
      <c r="D143" s="193" t="n"/>
      <c r="E143" s="193" t="n"/>
      <c r="F143" s="193" t="n"/>
      <c r="G143" s="193" t="n"/>
    </row>
    <row r="144" customFormat="1" s="194">
      <c r="A144" s="193" t="n"/>
      <c r="B144" s="193" t="n"/>
      <c r="C144" s="193" t="n"/>
      <c r="D144" s="193" t="n"/>
      <c r="E144" s="193" t="n"/>
      <c r="F144" s="193" t="n"/>
      <c r="G144" s="193" t="n"/>
      <c r="H144" s="193" t="n"/>
      <c r="I144" s="193" t="n"/>
      <c r="J144" s="193" t="n"/>
      <c r="K144" s="193" t="n"/>
      <c r="L144" s="193" t="n"/>
      <c r="M144" s="193" t="n"/>
      <c r="N144" s="193" t="n"/>
      <c r="O144" s="193" t="n"/>
      <c r="P144" s="193" t="n"/>
    </row>
    <row r="145" customFormat="1" s="194">
      <c r="A145" s="193" t="n"/>
      <c r="B145" s="193" t="n"/>
      <c r="C145" s="193" t="n"/>
      <c r="D145" s="193" t="n"/>
      <c r="E145" s="193" t="n"/>
      <c r="F145" s="193" t="n"/>
      <c r="G145" s="193" t="n"/>
      <c r="H145" s="193" t="n"/>
      <c r="I145" s="193" t="n"/>
      <c r="J145" s="193" t="n"/>
      <c r="K145" s="193" t="n"/>
      <c r="L145" s="193" t="n"/>
      <c r="M145" s="193" t="n"/>
      <c r="N145" s="193" t="n"/>
      <c r="O145" s="193" t="n"/>
      <c r="P145" s="193" t="n"/>
    </row>
    <row r="146">
      <c r="A146" s="193" t="n"/>
      <c r="B146" s="193" t="n"/>
      <c r="C146" s="193" t="n"/>
      <c r="D146" s="193" t="n"/>
      <c r="E146" s="193" t="n"/>
      <c r="F146" s="193" t="n"/>
      <c r="G146" s="193" t="n"/>
    </row>
    <row r="147" customFormat="1" s="194">
      <c r="A147" s="193" t="n"/>
      <c r="B147" s="193" t="n"/>
      <c r="C147" s="193" t="n"/>
      <c r="D147" s="193" t="n"/>
      <c r="E147" s="193" t="n"/>
      <c r="F147" s="193" t="n"/>
      <c r="G147" s="193" t="n"/>
      <c r="H147" s="193" t="n"/>
      <c r="I147" s="193" t="n"/>
      <c r="J147" s="193" t="n"/>
      <c r="K147" s="193" t="n"/>
      <c r="L147" s="193" t="n"/>
      <c r="M147" s="193" t="n"/>
      <c r="N147" s="193" t="n"/>
      <c r="O147" s="193" t="n"/>
      <c r="P147" s="193" t="n"/>
    </row>
    <row r="148">
      <c r="A148" s="193" t="n"/>
      <c r="B148" s="193" t="n"/>
      <c r="C148" s="193" t="n"/>
      <c r="D148" s="193" t="n"/>
      <c r="E148" s="193" t="n"/>
      <c r="F148" s="193" t="n"/>
      <c r="G148" s="193" t="n"/>
    </row>
    <row r="149" customFormat="1" s="194">
      <c r="A149" s="193" t="n"/>
      <c r="B149" s="193" t="n"/>
      <c r="C149" s="193" t="n"/>
      <c r="D149" s="193" t="n"/>
      <c r="E149" s="193" t="n"/>
      <c r="F149" s="193" t="n"/>
      <c r="G149" s="193" t="n"/>
      <c r="H149" s="193" t="n"/>
      <c r="I149" s="193" t="n"/>
      <c r="J149" s="193" t="n"/>
      <c r="K149" s="193" t="n"/>
      <c r="L149" s="193" t="n"/>
      <c r="M149" s="193" t="n"/>
      <c r="N149" s="193" t="n"/>
      <c r="O149" s="193" t="n"/>
      <c r="P149" s="193" t="n"/>
    </row>
    <row r="150">
      <c r="A150" s="193" t="n"/>
      <c r="B150" s="193" t="n"/>
      <c r="C150" s="193" t="n"/>
      <c r="D150" s="193" t="n"/>
      <c r="E150" s="193" t="n"/>
      <c r="F150" s="193" t="n"/>
      <c r="G150" s="193" t="n"/>
    </row>
    <row r="151" customFormat="1" s="194">
      <c r="A151" s="193" t="n"/>
      <c r="B151" s="193" t="n"/>
      <c r="C151" s="193" t="n"/>
      <c r="D151" s="193" t="n"/>
      <c r="E151" s="193" t="n"/>
      <c r="F151" s="193" t="n"/>
      <c r="G151" s="193" t="n"/>
      <c r="H151" s="193" t="n"/>
      <c r="I151" s="193" t="n"/>
      <c r="J151" s="193" t="n"/>
      <c r="K151" s="193" t="n"/>
      <c r="L151" s="193" t="n"/>
      <c r="M151" s="193" t="n"/>
      <c r="N151" s="193" t="n"/>
      <c r="O151" s="193" t="n"/>
      <c r="P151" s="193" t="n"/>
    </row>
    <row r="152">
      <c r="A152" s="193" t="n"/>
      <c r="B152" s="193" t="n"/>
      <c r="C152" s="193" t="n"/>
      <c r="D152" s="193" t="n"/>
      <c r="E152" s="193" t="n"/>
      <c r="F152" s="193" t="n"/>
      <c r="G152" s="193" t="n"/>
    </row>
    <row r="153" customFormat="1" s="194">
      <c r="A153" s="193" t="n"/>
      <c r="B153" s="193" t="n"/>
      <c r="C153" s="193" t="n"/>
      <c r="D153" s="193" t="n"/>
      <c r="E153" s="193" t="n"/>
      <c r="F153" s="193" t="n"/>
      <c r="G153" s="193" t="n"/>
      <c r="H153" s="193" t="n"/>
      <c r="I153" s="193" t="n"/>
      <c r="J153" s="193" t="n"/>
      <c r="K153" s="193" t="n"/>
      <c r="L153" s="193" t="n"/>
      <c r="M153" s="193" t="n"/>
      <c r="N153" s="193" t="n"/>
      <c r="O153" s="193" t="n"/>
      <c r="P153" s="193" t="n"/>
    </row>
    <row r="154">
      <c r="A154" s="193" t="n"/>
      <c r="B154" s="193" t="n"/>
      <c r="C154" s="193" t="n"/>
      <c r="D154" s="193" t="n"/>
      <c r="E154" s="193" t="n"/>
      <c r="F154" s="193" t="n"/>
      <c r="G154" s="193" t="n"/>
    </row>
    <row r="155" customFormat="1" s="194">
      <c r="A155" s="193" t="n"/>
      <c r="B155" s="193" t="n"/>
      <c r="C155" s="193" t="n"/>
      <c r="D155" s="193" t="n"/>
      <c r="E155" s="193" t="n"/>
      <c r="F155" s="193" t="n"/>
      <c r="G155" s="193" t="n"/>
      <c r="H155" s="193" t="n"/>
      <c r="I155" s="193" t="n"/>
      <c r="J155" s="193" t="n"/>
      <c r="K155" s="193" t="n"/>
      <c r="L155" s="193" t="n"/>
      <c r="M155" s="193" t="n"/>
      <c r="N155" s="193" t="n"/>
      <c r="O155" s="193" t="n"/>
      <c r="P155" s="193" t="n"/>
    </row>
    <row r="156" customFormat="1" s="194">
      <c r="A156" s="193" t="n"/>
      <c r="B156" s="193" t="n"/>
      <c r="C156" s="193" t="n"/>
      <c r="D156" s="193" t="n"/>
      <c r="E156" s="193" t="n"/>
      <c r="F156" s="193" t="n"/>
      <c r="G156" s="193" t="n"/>
      <c r="H156" s="193" t="n"/>
      <c r="I156" s="193" t="n"/>
      <c r="J156" s="193" t="n"/>
      <c r="K156" s="193" t="n"/>
      <c r="L156" s="193" t="n"/>
      <c r="M156" s="193" t="n"/>
      <c r="N156" s="193" t="n"/>
      <c r="O156" s="193" t="n"/>
      <c r="P156" s="193" t="n"/>
    </row>
    <row r="157">
      <c r="A157" s="193" t="n"/>
      <c r="B157" s="193" t="n"/>
      <c r="C157" s="193" t="n"/>
      <c r="D157" s="193" t="n"/>
      <c r="E157" s="193" t="n"/>
      <c r="F157" s="193" t="n"/>
      <c r="G157" s="193" t="n"/>
    </row>
    <row r="158" customFormat="1" s="194">
      <c r="A158" s="193" t="n"/>
      <c r="B158" s="193" t="n"/>
      <c r="C158" s="193" t="n"/>
      <c r="D158" s="193" t="n"/>
      <c r="E158" s="193" t="n"/>
      <c r="F158" s="193" t="n"/>
      <c r="G158" s="193" t="n"/>
      <c r="H158" s="193" t="n"/>
      <c r="I158" s="193" t="n"/>
      <c r="J158" s="193" t="n"/>
      <c r="K158" s="193" t="n"/>
      <c r="L158" s="193" t="n"/>
      <c r="M158" s="193" t="n"/>
      <c r="N158" s="193" t="n"/>
      <c r="O158" s="193" t="n"/>
      <c r="P158" s="193" t="n"/>
    </row>
    <row r="159">
      <c r="A159" s="193" t="n"/>
      <c r="B159" s="193" t="n"/>
      <c r="C159" s="193" t="n"/>
      <c r="D159" s="193" t="n"/>
      <c r="E159" s="193" t="n"/>
      <c r="F159" s="193" t="n"/>
      <c r="G159" s="193" t="n"/>
    </row>
    <row r="160" customFormat="1" s="194">
      <c r="A160" s="193" t="n"/>
      <c r="B160" s="193" t="n"/>
      <c r="C160" s="193" t="n"/>
      <c r="D160" s="193" t="n"/>
      <c r="E160" s="193" t="n"/>
      <c r="F160" s="193" t="n"/>
      <c r="G160" s="193" t="n"/>
      <c r="H160" s="193" t="n"/>
      <c r="I160" s="193" t="n"/>
      <c r="J160" s="193" t="n"/>
      <c r="K160" s="193" t="n"/>
      <c r="L160" s="193" t="n"/>
      <c r="M160" s="193" t="n"/>
      <c r="N160" s="193" t="n"/>
      <c r="O160" s="193" t="n"/>
      <c r="P160" s="193" t="n"/>
    </row>
    <row r="161">
      <c r="A161" s="193" t="n"/>
      <c r="B161" s="193" t="n"/>
      <c r="C161" s="193" t="n"/>
      <c r="D161" s="193" t="n"/>
      <c r="E161" s="193" t="n"/>
      <c r="F161" s="193" t="n"/>
      <c r="G161" s="193" t="n"/>
    </row>
    <row r="162" customFormat="1" s="194">
      <c r="A162" s="193" t="n"/>
      <c r="B162" s="193" t="n"/>
      <c r="C162" s="193" t="n"/>
      <c r="D162" s="193" t="n"/>
      <c r="E162" s="193" t="n"/>
      <c r="F162" s="193" t="n"/>
      <c r="G162" s="193" t="n"/>
      <c r="H162" s="193" t="n"/>
      <c r="I162" s="193" t="n"/>
      <c r="J162" s="193" t="n"/>
      <c r="K162" s="193" t="n"/>
      <c r="L162" s="193" t="n"/>
      <c r="M162" s="193" t="n"/>
      <c r="N162" s="193" t="n"/>
      <c r="O162" s="193" t="n"/>
      <c r="P162" s="193" t="n"/>
    </row>
    <row r="163">
      <c r="A163" s="193" t="n"/>
      <c r="B163" s="193" t="n"/>
      <c r="C163" s="193" t="n"/>
      <c r="D163" s="193" t="n"/>
      <c r="E163" s="193" t="n"/>
      <c r="F163" s="193" t="n"/>
      <c r="G163" s="193" t="n"/>
    </row>
    <row r="164" customFormat="1" s="194">
      <c r="A164" s="193" t="n"/>
      <c r="B164" s="193" t="n"/>
      <c r="C164" s="193" t="n"/>
      <c r="D164" s="193" t="n"/>
      <c r="E164" s="193" t="n"/>
      <c r="F164" s="193" t="n"/>
      <c r="G164" s="193" t="n"/>
      <c r="H164" s="193" t="n"/>
      <c r="I164" s="193" t="n"/>
      <c r="J164" s="193" t="n"/>
      <c r="K164" s="193" t="n"/>
      <c r="L164" s="193" t="n"/>
      <c r="M164" s="193" t="n"/>
      <c r="N164" s="193" t="n"/>
      <c r="O164" s="193" t="n"/>
      <c r="P164" s="193" t="n"/>
    </row>
    <row r="165">
      <c r="A165" s="193" t="n"/>
      <c r="B165" s="193" t="n"/>
      <c r="C165" s="193" t="n"/>
      <c r="D165" s="193" t="n"/>
      <c r="E165" s="193" t="n"/>
      <c r="F165" s="193" t="n"/>
      <c r="G165" s="193" t="n"/>
    </row>
    <row r="166" customFormat="1" s="194">
      <c r="A166" s="193" t="n"/>
      <c r="B166" s="193" t="n"/>
      <c r="C166" s="193" t="n"/>
      <c r="D166" s="193" t="n"/>
      <c r="E166" s="193" t="n"/>
      <c r="F166" s="193" t="n"/>
      <c r="G166" s="193" t="n"/>
      <c r="H166" s="193" t="n"/>
      <c r="I166" s="193" t="n"/>
      <c r="J166" s="193" t="n"/>
      <c r="K166" s="193" t="n"/>
      <c r="L166" s="193" t="n"/>
      <c r="M166" s="193" t="n"/>
      <c r="N166" s="193" t="n"/>
      <c r="O166" s="193" t="n"/>
      <c r="P166" s="193" t="n"/>
    </row>
    <row r="167" customFormat="1" s="194">
      <c r="A167" s="193" t="n"/>
      <c r="B167" s="193" t="n"/>
      <c r="C167" s="193" t="n"/>
      <c r="D167" s="193" t="n"/>
      <c r="E167" s="193" t="n"/>
      <c r="F167" s="193" t="n"/>
      <c r="G167" s="193" t="n"/>
      <c r="H167" s="193" t="n"/>
      <c r="I167" s="193" t="n"/>
      <c r="J167" s="193" t="n"/>
      <c r="K167" s="193" t="n"/>
      <c r="L167" s="193" t="n"/>
      <c r="M167" s="193" t="n"/>
      <c r="N167" s="193" t="n"/>
      <c r="O167" s="193" t="n"/>
      <c r="P167" s="193" t="n"/>
    </row>
    <row r="168">
      <c r="A168" s="193" t="n"/>
      <c r="B168" s="193" t="n"/>
      <c r="C168" s="193" t="n"/>
      <c r="D168" s="193" t="n"/>
      <c r="E168" s="193" t="n"/>
      <c r="F168" s="193" t="n"/>
      <c r="G168" s="193" t="n"/>
    </row>
    <row r="169" customFormat="1" s="194">
      <c r="A169" s="193" t="n"/>
      <c r="B169" s="193" t="n"/>
      <c r="C169" s="193" t="n"/>
      <c r="D169" s="193" t="n"/>
      <c r="E169" s="193" t="n"/>
      <c r="F169" s="193" t="n"/>
      <c r="G169" s="193" t="n"/>
      <c r="H169" s="193" t="n"/>
      <c r="I169" s="193" t="n"/>
      <c r="J169" s="193" t="n"/>
      <c r="K169" s="193" t="n"/>
      <c r="L169" s="193" t="n"/>
      <c r="M169" s="193" t="n"/>
      <c r="N169" s="193" t="n"/>
      <c r="O169" s="193" t="n"/>
      <c r="P169" s="193" t="n"/>
    </row>
    <row r="170">
      <c r="A170" s="193" t="n"/>
      <c r="B170" s="193" t="n"/>
      <c r="C170" s="193" t="n"/>
      <c r="D170" s="193" t="n"/>
      <c r="E170" s="193" t="n"/>
      <c r="F170" s="193" t="n"/>
      <c r="G170" s="193" t="n"/>
    </row>
    <row r="171" customFormat="1" s="194">
      <c r="A171" s="193" t="n"/>
      <c r="B171" s="193" t="n"/>
      <c r="C171" s="193" t="n"/>
      <c r="D171" s="193" t="n"/>
      <c r="E171" s="193" t="n"/>
      <c r="F171" s="193" t="n"/>
      <c r="G171" s="193" t="n"/>
      <c r="H171" s="193" t="n"/>
      <c r="I171" s="193" t="n"/>
      <c r="J171" s="193" t="n"/>
      <c r="K171" s="193" t="n"/>
      <c r="L171" s="193" t="n"/>
      <c r="M171" s="193" t="n"/>
      <c r="N171" s="193" t="n"/>
      <c r="O171" s="193" t="n"/>
      <c r="P171" s="193" t="n"/>
    </row>
    <row r="172">
      <c r="A172" s="193" t="n"/>
      <c r="B172" s="193" t="n"/>
      <c r="C172" s="193" t="n"/>
      <c r="D172" s="193" t="n"/>
      <c r="E172" s="193" t="n"/>
      <c r="F172" s="193" t="n"/>
      <c r="G172" s="193" t="n"/>
    </row>
    <row r="173" customFormat="1" s="194">
      <c r="A173" s="193" t="n"/>
      <c r="B173" s="193" t="n"/>
      <c r="C173" s="193" t="n"/>
      <c r="D173" s="193" t="n"/>
      <c r="E173" s="193" t="n"/>
      <c r="F173" s="193" t="n"/>
      <c r="G173" s="193" t="n"/>
      <c r="H173" s="193" t="n"/>
      <c r="I173" s="193" t="n"/>
      <c r="J173" s="193" t="n"/>
      <c r="K173" s="193" t="n"/>
      <c r="L173" s="193" t="n"/>
      <c r="M173" s="193" t="n"/>
      <c r="N173" s="193" t="n"/>
      <c r="O173" s="193" t="n"/>
      <c r="P173" s="193" t="n"/>
    </row>
    <row r="174">
      <c r="A174" s="193" t="n"/>
      <c r="B174" s="193" t="n"/>
      <c r="C174" s="193" t="n"/>
      <c r="D174" s="193" t="n"/>
      <c r="E174" s="193" t="n"/>
      <c r="F174" s="193" t="n"/>
      <c r="G174" s="193" t="n"/>
    </row>
    <row r="175" customFormat="1" s="194">
      <c r="A175" s="193" t="n"/>
      <c r="B175" s="193" t="n"/>
      <c r="C175" s="193" t="n"/>
      <c r="D175" s="193" t="n"/>
      <c r="E175" s="193" t="n"/>
      <c r="F175" s="193" t="n"/>
      <c r="G175" s="193" t="n"/>
      <c r="H175" s="193" t="n"/>
      <c r="I175" s="193" t="n"/>
      <c r="J175" s="193" t="n"/>
      <c r="K175" s="193" t="n"/>
      <c r="L175" s="193" t="n"/>
      <c r="M175" s="193" t="n"/>
      <c r="N175" s="193" t="n"/>
      <c r="O175" s="193" t="n"/>
      <c r="P175" s="193" t="n"/>
    </row>
    <row r="176">
      <c r="A176" s="193" t="n"/>
      <c r="B176" s="193" t="n"/>
      <c r="C176" s="193" t="n"/>
      <c r="D176" s="193" t="n"/>
      <c r="E176" s="193" t="n"/>
      <c r="F176" s="193" t="n"/>
      <c r="G176" s="193" t="n"/>
    </row>
    <row r="177" customFormat="1" s="194">
      <c r="A177" s="193" t="n"/>
      <c r="B177" s="193" t="n"/>
      <c r="C177" s="193" t="n"/>
      <c r="D177" s="193" t="n"/>
      <c r="E177" s="193" t="n"/>
      <c r="F177" s="193" t="n"/>
      <c r="G177" s="193" t="n"/>
      <c r="H177" s="193" t="n"/>
      <c r="I177" s="193" t="n"/>
      <c r="J177" s="193" t="n"/>
      <c r="K177" s="193" t="n"/>
      <c r="L177" s="193" t="n"/>
      <c r="M177" s="193" t="n"/>
      <c r="N177" s="193" t="n"/>
      <c r="O177" s="193" t="n"/>
      <c r="P177" s="193" t="n"/>
    </row>
    <row r="178" customFormat="1" s="194">
      <c r="A178" s="193" t="n"/>
      <c r="B178" s="193" t="n"/>
      <c r="C178" s="193" t="n"/>
      <c r="D178" s="193" t="n"/>
      <c r="E178" s="193" t="n"/>
      <c r="F178" s="193" t="n"/>
      <c r="G178" s="193" t="n"/>
      <c r="H178" s="193" t="n"/>
      <c r="I178" s="193" t="n"/>
      <c r="J178" s="193" t="n"/>
      <c r="K178" s="193" t="n"/>
      <c r="L178" s="193" t="n"/>
      <c r="M178" s="193" t="n"/>
      <c r="N178" s="193" t="n"/>
      <c r="O178" s="193" t="n"/>
      <c r="P178" s="193" t="n"/>
    </row>
    <row r="179">
      <c r="A179" s="193" t="n"/>
      <c r="B179" s="193" t="n"/>
      <c r="C179" s="193" t="n"/>
      <c r="D179" s="193" t="n"/>
      <c r="E179" s="193" t="n"/>
      <c r="F179" s="193" t="n"/>
      <c r="G179" s="193" t="n"/>
    </row>
    <row r="180" customFormat="1" s="194">
      <c r="A180" s="193" t="n"/>
      <c r="B180" s="193" t="n"/>
      <c r="C180" s="193" t="n"/>
      <c r="D180" s="193" t="n"/>
      <c r="E180" s="193" t="n"/>
      <c r="F180" s="193" t="n"/>
      <c r="G180" s="193" t="n"/>
      <c r="H180" s="193" t="n"/>
      <c r="I180" s="193" t="n"/>
      <c r="J180" s="193" t="n"/>
      <c r="K180" s="193" t="n"/>
      <c r="L180" s="193" t="n"/>
      <c r="M180" s="193" t="n"/>
      <c r="N180" s="193" t="n"/>
      <c r="O180" s="193" t="n"/>
      <c r="P180" s="193" t="n"/>
    </row>
    <row r="181">
      <c r="A181" s="193" t="n"/>
      <c r="B181" s="193" t="n"/>
      <c r="C181" s="193" t="n"/>
      <c r="D181" s="193" t="n"/>
      <c r="E181" s="193" t="n"/>
      <c r="F181" s="193" t="n"/>
      <c r="G181" s="193" t="n"/>
    </row>
    <row r="182" customFormat="1" s="194">
      <c r="A182" s="193" t="n"/>
      <c r="B182" s="193" t="n"/>
      <c r="C182" s="193" t="n"/>
      <c r="D182" s="193" t="n"/>
      <c r="E182" s="193" t="n"/>
      <c r="F182" s="193" t="n"/>
      <c r="G182" s="193" t="n"/>
      <c r="H182" s="193" t="n"/>
      <c r="I182" s="193" t="n"/>
      <c r="J182" s="193" t="n"/>
      <c r="K182" s="193" t="n"/>
      <c r="L182" s="193" t="n"/>
      <c r="M182" s="193" t="n"/>
      <c r="N182" s="193" t="n"/>
      <c r="O182" s="193" t="n"/>
      <c r="P182" s="193" t="n"/>
    </row>
    <row r="183">
      <c r="A183" s="193" t="n"/>
      <c r="B183" s="193" t="n"/>
      <c r="C183" s="193" t="n"/>
      <c r="D183" s="193" t="n"/>
      <c r="E183" s="193" t="n"/>
      <c r="F183" s="193" t="n"/>
      <c r="G183" s="193" t="n"/>
    </row>
    <row r="184" customFormat="1" s="194">
      <c r="A184" s="193" t="n"/>
      <c r="B184" s="193" t="n"/>
      <c r="C184" s="193" t="n"/>
      <c r="D184" s="193" t="n"/>
      <c r="E184" s="193" t="n"/>
      <c r="F184" s="193" t="n"/>
      <c r="G184" s="193" t="n"/>
      <c r="H184" s="193" t="n"/>
      <c r="I184" s="193" t="n"/>
      <c r="J184" s="193" t="n"/>
      <c r="K184" s="193" t="n"/>
      <c r="L184" s="193" t="n"/>
      <c r="M184" s="193" t="n"/>
      <c r="N184" s="193" t="n"/>
      <c r="O184" s="193" t="n"/>
      <c r="P184" s="193" t="n"/>
    </row>
    <row r="185">
      <c r="A185" s="193" t="n"/>
      <c r="B185" s="193" t="n"/>
      <c r="C185" s="193" t="n"/>
      <c r="D185" s="193" t="n"/>
      <c r="E185" s="193" t="n"/>
      <c r="F185" s="193" t="n"/>
      <c r="G185" s="193" t="n"/>
    </row>
    <row r="186" customFormat="1" s="194">
      <c r="A186" s="193" t="n"/>
      <c r="B186" s="193" t="n"/>
      <c r="C186" s="193" t="n"/>
      <c r="D186" s="193" t="n"/>
      <c r="E186" s="193" t="n"/>
      <c r="F186" s="193" t="n"/>
      <c r="G186" s="193" t="n"/>
      <c r="H186" s="193" t="n"/>
      <c r="I186" s="193" t="n"/>
      <c r="J186" s="193" t="n"/>
      <c r="K186" s="193" t="n"/>
      <c r="L186" s="193" t="n"/>
      <c r="M186" s="193" t="n"/>
      <c r="N186" s="193" t="n"/>
      <c r="O186" s="193" t="n"/>
      <c r="P186" s="193" t="n"/>
    </row>
    <row r="187">
      <c r="A187" s="193" t="n"/>
      <c r="B187" s="193" t="n"/>
      <c r="C187" s="193" t="n"/>
      <c r="D187" s="193" t="n"/>
      <c r="E187" s="193" t="n"/>
      <c r="F187" s="193" t="n"/>
      <c r="G187" s="193" t="n"/>
    </row>
    <row r="188" customFormat="1" s="194">
      <c r="A188" s="193" t="n"/>
      <c r="B188" s="193" t="n"/>
      <c r="C188" s="193" t="n"/>
      <c r="D188" s="193" t="n"/>
      <c r="E188" s="193" t="n"/>
      <c r="F188" s="193" t="n"/>
      <c r="G188" s="193" t="n"/>
      <c r="H188" s="193" t="n"/>
      <c r="I188" s="193" t="n"/>
      <c r="J188" s="193" t="n"/>
      <c r="K188" s="193" t="n"/>
      <c r="L188" s="193" t="n"/>
      <c r="M188" s="193" t="n"/>
      <c r="N188" s="193" t="n"/>
      <c r="O188" s="193" t="n"/>
      <c r="P188" s="193" t="n"/>
    </row>
    <row r="189" customFormat="1" s="194">
      <c r="A189" s="193" t="n"/>
      <c r="B189" s="193" t="n"/>
      <c r="C189" s="193" t="n"/>
      <c r="D189" s="193" t="n"/>
      <c r="E189" s="193" t="n"/>
      <c r="F189" s="193" t="n"/>
      <c r="G189" s="193" t="n"/>
      <c r="H189" s="193" t="n"/>
      <c r="I189" s="193" t="n"/>
      <c r="J189" s="193" t="n"/>
      <c r="K189" s="193" t="n"/>
      <c r="L189" s="193" t="n"/>
      <c r="M189" s="193" t="n"/>
      <c r="N189" s="193" t="n"/>
      <c r="O189" s="193" t="n"/>
      <c r="P189" s="193" t="n"/>
    </row>
    <row r="190">
      <c r="A190" s="193" t="n"/>
      <c r="B190" s="193" t="n"/>
      <c r="C190" s="193" t="n"/>
      <c r="D190" s="193" t="n"/>
      <c r="E190" s="193" t="n"/>
      <c r="F190" s="193" t="n"/>
      <c r="G190" s="193" t="n"/>
    </row>
    <row r="191" customFormat="1" s="194">
      <c r="A191" s="193" t="n"/>
      <c r="B191" s="193" t="n"/>
      <c r="C191" s="193" t="n"/>
      <c r="D191" s="193" t="n"/>
      <c r="E191" s="193" t="n"/>
      <c r="F191" s="193" t="n"/>
      <c r="G191" s="193" t="n"/>
      <c r="H191" s="193" t="n"/>
      <c r="I191" s="193" t="n"/>
      <c r="J191" s="193" t="n"/>
      <c r="K191" s="193" t="n"/>
      <c r="L191" s="193" t="n"/>
      <c r="M191" s="193" t="n"/>
      <c r="N191" s="193" t="n"/>
      <c r="O191" s="193" t="n"/>
      <c r="P191" s="193" t="n"/>
    </row>
    <row r="192">
      <c r="A192" s="193" t="n"/>
      <c r="B192" s="193" t="n"/>
      <c r="C192" s="193" t="n"/>
      <c r="D192" s="193" t="n"/>
      <c r="E192" s="193" t="n"/>
      <c r="F192" s="193" t="n"/>
      <c r="G192" s="193" t="n"/>
    </row>
    <row r="193" customFormat="1" s="194">
      <c r="A193" s="193" t="n"/>
      <c r="B193" s="193" t="n"/>
      <c r="C193" s="193" t="n"/>
      <c r="D193" s="193" t="n"/>
      <c r="E193" s="193" t="n"/>
      <c r="F193" s="193" t="n"/>
      <c r="G193" s="193" t="n"/>
      <c r="H193" s="193" t="n"/>
      <c r="I193" s="193" t="n"/>
      <c r="J193" s="193" t="n"/>
      <c r="K193" s="193" t="n"/>
      <c r="L193" s="193" t="n"/>
      <c r="M193" s="193" t="n"/>
      <c r="N193" s="193" t="n"/>
      <c r="O193" s="193" t="n"/>
      <c r="P193" s="193" t="n"/>
    </row>
    <row r="194">
      <c r="A194" s="193" t="n"/>
      <c r="B194" s="193" t="n"/>
      <c r="C194" s="193" t="n"/>
      <c r="D194" s="193" t="n"/>
      <c r="E194" s="193" t="n"/>
      <c r="F194" s="193" t="n"/>
      <c r="G194" s="193" t="n"/>
    </row>
    <row r="195" customFormat="1" s="194">
      <c r="A195" s="193" t="n"/>
      <c r="B195" s="193" t="n"/>
      <c r="C195" s="193" t="n"/>
      <c r="D195" s="193" t="n"/>
      <c r="E195" s="193" t="n"/>
      <c r="F195" s="193" t="n"/>
      <c r="G195" s="193" t="n"/>
      <c r="H195" s="193" t="n"/>
      <c r="I195" s="193" t="n"/>
      <c r="J195" s="193" t="n"/>
      <c r="K195" s="193" t="n"/>
      <c r="L195" s="193" t="n"/>
      <c r="M195" s="193" t="n"/>
      <c r="N195" s="193" t="n"/>
      <c r="O195" s="193" t="n"/>
      <c r="P195" s="193" t="n"/>
    </row>
    <row r="196">
      <c r="A196" s="193" t="n"/>
      <c r="B196" s="193" t="n"/>
      <c r="C196" s="193" t="n"/>
      <c r="D196" s="193" t="n"/>
      <c r="E196" s="193" t="n"/>
      <c r="F196" s="193" t="n"/>
      <c r="G196" s="193" t="n"/>
    </row>
    <row r="197" customFormat="1" s="194">
      <c r="A197" s="193" t="n"/>
      <c r="B197" s="193" t="n"/>
      <c r="C197" s="193" t="n"/>
      <c r="D197" s="193" t="n"/>
      <c r="E197" s="193" t="n"/>
      <c r="F197" s="193" t="n"/>
      <c r="G197" s="193" t="n"/>
      <c r="H197" s="193" t="n"/>
      <c r="I197" s="193" t="n"/>
      <c r="J197" s="193" t="n"/>
      <c r="K197" s="193" t="n"/>
      <c r="L197" s="193" t="n"/>
      <c r="M197" s="193" t="n"/>
      <c r="N197" s="193" t="n"/>
      <c r="O197" s="193" t="n"/>
      <c r="P197" s="193" t="n"/>
    </row>
    <row r="198">
      <c r="A198" s="193" t="n"/>
      <c r="B198" s="193" t="n"/>
      <c r="C198" s="193" t="n"/>
      <c r="D198" s="193" t="n"/>
      <c r="E198" s="193" t="n"/>
      <c r="F198" s="193" t="n"/>
      <c r="G198" s="193" t="n"/>
    </row>
    <row r="199" customFormat="1" s="194">
      <c r="A199" s="193" t="n"/>
      <c r="B199" s="193" t="n"/>
      <c r="C199" s="193" t="n"/>
      <c r="D199" s="193" t="n"/>
      <c r="E199" s="193" t="n"/>
      <c r="F199" s="193" t="n"/>
      <c r="G199" s="193" t="n"/>
      <c r="H199" s="193" t="n"/>
      <c r="I199" s="193" t="n"/>
      <c r="J199" s="193" t="n"/>
      <c r="K199" s="193" t="n"/>
      <c r="L199" s="193" t="n"/>
      <c r="M199" s="193" t="n"/>
      <c r="N199" s="193" t="n"/>
      <c r="O199" s="193" t="n"/>
      <c r="P199" s="193" t="n"/>
    </row>
    <row r="200" customFormat="1" s="194">
      <c r="A200" s="193" t="n"/>
      <c r="B200" s="193" t="n"/>
      <c r="C200" s="193" t="n"/>
      <c r="D200" s="193" t="n"/>
      <c r="E200" s="193" t="n"/>
      <c r="F200" s="193" t="n"/>
      <c r="G200" s="193" t="n"/>
      <c r="H200" s="193" t="n"/>
      <c r="I200" s="193" t="n"/>
      <c r="J200" s="193" t="n"/>
      <c r="K200" s="193" t="n"/>
      <c r="L200" s="193" t="n"/>
      <c r="M200" s="193" t="n"/>
      <c r="N200" s="193" t="n"/>
      <c r="O200" s="193" t="n"/>
      <c r="P200" s="193" t="n"/>
    </row>
    <row r="201">
      <c r="A201" s="193" t="n"/>
      <c r="B201" s="193" t="n"/>
      <c r="C201" s="193" t="n"/>
      <c r="D201" s="193" t="n"/>
      <c r="E201" s="193" t="n"/>
      <c r="F201" s="193" t="n"/>
      <c r="G201" s="193" t="n"/>
    </row>
    <row r="202" customFormat="1" s="194">
      <c r="A202" s="193" t="n"/>
      <c r="B202" s="193" t="n"/>
      <c r="C202" s="193" t="n"/>
      <c r="D202" s="193" t="n"/>
      <c r="E202" s="193" t="n"/>
      <c r="F202" s="193" t="n"/>
      <c r="G202" s="193" t="n"/>
      <c r="H202" s="193" t="n"/>
      <c r="I202" s="193" t="n"/>
      <c r="J202" s="193" t="n"/>
      <c r="K202" s="193" t="n"/>
      <c r="L202" s="193" t="n"/>
      <c r="M202" s="193" t="n"/>
      <c r="N202" s="193" t="n"/>
      <c r="O202" s="193" t="n"/>
      <c r="P202" s="193" t="n"/>
    </row>
    <row r="203">
      <c r="A203" s="193" t="n"/>
      <c r="B203" s="193" t="n"/>
      <c r="C203" s="193" t="n"/>
      <c r="D203" s="193" t="n"/>
      <c r="E203" s="193" t="n"/>
      <c r="F203" s="193" t="n"/>
      <c r="G203" s="193" t="n"/>
    </row>
    <row r="204" customFormat="1" s="194">
      <c r="A204" s="193" t="n"/>
      <c r="B204" s="193" t="n"/>
      <c r="C204" s="193" t="n"/>
      <c r="D204" s="193" t="n"/>
      <c r="E204" s="193" t="n"/>
      <c r="F204" s="193" t="n"/>
      <c r="G204" s="193" t="n"/>
      <c r="H204" s="193" t="n"/>
      <c r="I204" s="193" t="n"/>
      <c r="J204" s="193" t="n"/>
      <c r="K204" s="193" t="n"/>
      <c r="L204" s="193" t="n"/>
      <c r="M204" s="193" t="n"/>
      <c r="N204" s="193" t="n"/>
      <c r="O204" s="193" t="n"/>
      <c r="P204" s="193" t="n"/>
    </row>
    <row r="205">
      <c r="A205" s="193" t="n"/>
      <c r="B205" s="193" t="n"/>
      <c r="C205" s="193" t="n"/>
      <c r="D205" s="193" t="n"/>
      <c r="E205" s="193" t="n"/>
      <c r="F205" s="193" t="n"/>
      <c r="G205" s="193" t="n"/>
    </row>
    <row r="206" customFormat="1" s="194">
      <c r="A206" s="193" t="n"/>
      <c r="B206" s="193" t="n"/>
      <c r="C206" s="193" t="n"/>
      <c r="D206" s="193" t="n"/>
      <c r="E206" s="193" t="n"/>
      <c r="F206" s="193" t="n"/>
      <c r="G206" s="193" t="n"/>
      <c r="H206" s="193" t="n"/>
      <c r="I206" s="193" t="n"/>
      <c r="J206" s="193" t="n"/>
      <c r="K206" s="193" t="n"/>
      <c r="L206" s="193" t="n"/>
      <c r="M206" s="193" t="n"/>
      <c r="N206" s="193" t="n"/>
      <c r="O206" s="193" t="n"/>
      <c r="P206" s="193" t="n"/>
    </row>
    <row r="207">
      <c r="A207" s="193" t="n"/>
      <c r="B207" s="193" t="n"/>
      <c r="C207" s="193" t="n"/>
      <c r="D207" s="193" t="n"/>
      <c r="E207" s="193" t="n"/>
      <c r="F207" s="193" t="n"/>
      <c r="G207" s="193" t="n"/>
    </row>
    <row r="208" customFormat="1" s="194">
      <c r="A208" s="193" t="n"/>
      <c r="B208" s="193" t="n"/>
      <c r="C208" s="193" t="n"/>
      <c r="D208" s="193" t="n"/>
      <c r="E208" s="193" t="n"/>
      <c r="F208" s="193" t="n"/>
      <c r="G208" s="193" t="n"/>
      <c r="H208" s="193" t="n"/>
      <c r="I208" s="193" t="n"/>
      <c r="J208" s="193" t="n"/>
      <c r="K208" s="193" t="n"/>
      <c r="L208" s="193" t="n"/>
      <c r="M208" s="193" t="n"/>
      <c r="N208" s="193" t="n"/>
      <c r="O208" s="193" t="n"/>
      <c r="P208" s="193" t="n"/>
    </row>
    <row r="209">
      <c r="A209" s="193" t="n"/>
      <c r="B209" s="193" t="n"/>
      <c r="C209" s="193" t="n"/>
      <c r="D209" s="193" t="n"/>
      <c r="E209" s="193" t="n"/>
      <c r="F209" s="193" t="n"/>
      <c r="G209" s="193" t="n"/>
    </row>
    <row r="210" customFormat="1" s="194">
      <c r="A210" s="193" t="n"/>
      <c r="B210" s="193" t="n"/>
      <c r="C210" s="193" t="n"/>
      <c r="D210" s="193" t="n"/>
      <c r="E210" s="193" t="n"/>
      <c r="F210" s="193" t="n"/>
      <c r="G210" s="193" t="n"/>
      <c r="H210" s="193" t="n"/>
      <c r="I210" s="193" t="n"/>
      <c r="J210" s="193" t="n"/>
      <c r="K210" s="193" t="n"/>
      <c r="L210" s="193" t="n"/>
      <c r="M210" s="193" t="n"/>
      <c r="N210" s="193" t="n"/>
      <c r="O210" s="193" t="n"/>
      <c r="P210" s="193" t="n"/>
    </row>
    <row r="211" customFormat="1" s="194">
      <c r="A211" s="193" t="n"/>
      <c r="B211" s="193" t="n"/>
      <c r="C211" s="193" t="n"/>
      <c r="D211" s="193" t="n"/>
      <c r="E211" s="193" t="n"/>
      <c r="F211" s="193" t="n"/>
      <c r="G211" s="193" t="n"/>
      <c r="H211" s="193" t="n"/>
      <c r="I211" s="193" t="n"/>
      <c r="J211" s="193" t="n"/>
      <c r="K211" s="193" t="n"/>
      <c r="L211" s="193" t="n"/>
      <c r="M211" s="193" t="n"/>
      <c r="N211" s="193" t="n"/>
      <c r="O211" s="193" t="n"/>
      <c r="P211" s="193" t="n"/>
    </row>
    <row r="212">
      <c r="A212" s="193" t="n"/>
      <c r="B212" s="193" t="n"/>
      <c r="C212" s="193" t="n"/>
      <c r="D212" s="193" t="n"/>
      <c r="E212" s="193" t="n"/>
      <c r="F212" s="193" t="n"/>
      <c r="G212" s="193" t="n"/>
    </row>
    <row r="213" customFormat="1" s="194">
      <c r="A213" s="193" t="n"/>
      <c r="B213" s="193" t="n"/>
      <c r="C213" s="193" t="n"/>
      <c r="D213" s="193" t="n"/>
      <c r="E213" s="193" t="n"/>
      <c r="F213" s="193" t="n"/>
      <c r="G213" s="193" t="n"/>
      <c r="H213" s="193" t="n"/>
      <c r="I213" s="193" t="n"/>
      <c r="J213" s="193" t="n"/>
      <c r="K213" s="193" t="n"/>
      <c r="L213" s="193" t="n"/>
      <c r="M213" s="193" t="n"/>
      <c r="N213" s="193" t="n"/>
      <c r="O213" s="193" t="n"/>
      <c r="P213" s="193" t="n"/>
    </row>
    <row r="214">
      <c r="A214" s="193" t="n"/>
      <c r="B214" s="193" t="n"/>
      <c r="C214" s="193" t="n"/>
      <c r="D214" s="193" t="n"/>
      <c r="E214" s="193" t="n"/>
      <c r="F214" s="193" t="n"/>
      <c r="G214" s="193" t="n"/>
    </row>
    <row r="215" customFormat="1" s="194">
      <c r="A215" s="193" t="n"/>
      <c r="B215" s="193" t="n"/>
      <c r="C215" s="193" t="n"/>
      <c r="D215" s="193" t="n"/>
      <c r="E215" s="193" t="n"/>
      <c r="F215" s="193" t="n"/>
      <c r="G215" s="193" t="n"/>
      <c r="H215" s="193" t="n"/>
      <c r="I215" s="193" t="n"/>
      <c r="J215" s="193" t="n"/>
      <c r="K215" s="193" t="n"/>
      <c r="L215" s="193" t="n"/>
      <c r="M215" s="193" t="n"/>
      <c r="N215" s="193" t="n"/>
      <c r="O215" s="193" t="n"/>
      <c r="P215" s="193" t="n"/>
    </row>
    <row r="216">
      <c r="A216" s="193" t="n"/>
      <c r="B216" s="193" t="n"/>
      <c r="C216" s="193" t="n"/>
      <c r="D216" s="193" t="n"/>
      <c r="E216" s="193" t="n"/>
      <c r="F216" s="193" t="n"/>
      <c r="G216" s="193" t="n"/>
    </row>
    <row r="217" customFormat="1" s="194">
      <c r="A217" s="193" t="n"/>
      <c r="B217" s="193" t="n"/>
      <c r="C217" s="193" t="n"/>
      <c r="D217" s="193" t="n"/>
      <c r="E217" s="193" t="n"/>
      <c r="F217" s="193" t="n"/>
      <c r="G217" s="193" t="n"/>
      <c r="H217" s="193" t="n"/>
      <c r="I217" s="193" t="n"/>
      <c r="J217" s="193" t="n"/>
      <c r="K217" s="193" t="n"/>
      <c r="L217" s="193" t="n"/>
      <c r="M217" s="193" t="n"/>
      <c r="N217" s="193" t="n"/>
      <c r="O217" s="193" t="n"/>
      <c r="P217" s="193" t="n"/>
    </row>
    <row r="218">
      <c r="A218" s="193" t="n"/>
      <c r="B218" s="193" t="n"/>
      <c r="C218" s="193" t="n"/>
      <c r="D218" s="193" t="n"/>
      <c r="E218" s="193" t="n"/>
      <c r="F218" s="193" t="n"/>
      <c r="G218" s="193" t="n"/>
    </row>
    <row r="219" customFormat="1" s="194">
      <c r="A219" s="193" t="n"/>
      <c r="B219" s="193" t="n"/>
      <c r="C219" s="193" t="n"/>
      <c r="D219" s="193" t="n"/>
      <c r="E219" s="193" t="n"/>
      <c r="F219" s="193" t="n"/>
      <c r="G219" s="193" t="n"/>
      <c r="H219" s="193" t="n"/>
      <c r="I219" s="193" t="n"/>
      <c r="J219" s="193" t="n"/>
      <c r="K219" s="193" t="n"/>
      <c r="L219" s="193" t="n"/>
      <c r="M219" s="193" t="n"/>
      <c r="N219" s="193" t="n"/>
      <c r="O219" s="193" t="n"/>
      <c r="P219" s="193" t="n"/>
    </row>
    <row r="220">
      <c r="A220" s="193" t="n"/>
      <c r="B220" s="193" t="n"/>
      <c r="C220" s="193" t="n"/>
      <c r="D220" s="193" t="n"/>
      <c r="E220" s="193" t="n"/>
      <c r="F220" s="193" t="n"/>
      <c r="G220" s="193" t="n"/>
    </row>
    <row r="221" customFormat="1" s="194">
      <c r="A221" s="193" t="n"/>
      <c r="B221" s="193" t="n"/>
      <c r="C221" s="193" t="n"/>
      <c r="D221" s="193" t="n"/>
      <c r="E221" s="193" t="n"/>
      <c r="F221" s="193" t="n"/>
      <c r="G221" s="193" t="n"/>
      <c r="H221" s="193" t="n"/>
      <c r="I221" s="193" t="n"/>
      <c r="J221" s="193" t="n"/>
      <c r="K221" s="193" t="n"/>
      <c r="L221" s="193" t="n"/>
      <c r="M221" s="193" t="n"/>
      <c r="N221" s="193" t="n"/>
      <c r="O221" s="193" t="n"/>
      <c r="P221" s="193" t="n"/>
    </row>
    <row r="222" customFormat="1" s="194">
      <c r="A222" s="193" t="n"/>
      <c r="B222" s="193" t="n"/>
      <c r="C222" s="193" t="n"/>
      <c r="D222" s="193" t="n"/>
      <c r="E222" s="193" t="n"/>
      <c r="F222" s="193" t="n"/>
      <c r="G222" s="193" t="n"/>
      <c r="H222" s="193" t="n"/>
      <c r="I222" s="193" t="n"/>
      <c r="J222" s="193" t="n"/>
      <c r="K222" s="193" t="n"/>
      <c r="L222" s="193" t="n"/>
      <c r="M222" s="193" t="n"/>
      <c r="N222" s="193" t="n"/>
      <c r="O222" s="193" t="n"/>
      <c r="P222" s="193" t="n"/>
    </row>
    <row r="223">
      <c r="A223" s="193" t="n"/>
      <c r="B223" s="193" t="n"/>
      <c r="C223" s="193" t="n"/>
      <c r="D223" s="193" t="n"/>
      <c r="E223" s="193" t="n"/>
      <c r="F223" s="193" t="n"/>
      <c r="G223" s="193" t="n"/>
    </row>
    <row r="224" customFormat="1" s="194">
      <c r="A224" s="193" t="n"/>
      <c r="B224" s="193" t="n"/>
      <c r="C224" s="193" t="n"/>
      <c r="D224" s="193" t="n"/>
      <c r="E224" s="193" t="n"/>
      <c r="F224" s="193" t="n"/>
      <c r="G224" s="193" t="n"/>
      <c r="H224" s="193" t="n"/>
      <c r="I224" s="193" t="n"/>
      <c r="J224" s="193" t="n"/>
      <c r="K224" s="193" t="n"/>
      <c r="L224" s="193" t="n"/>
      <c r="M224" s="193" t="n"/>
      <c r="N224" s="193" t="n"/>
      <c r="O224" s="193" t="n"/>
      <c r="P224" s="193" t="n"/>
    </row>
    <row r="225">
      <c r="A225" s="193" t="n"/>
      <c r="B225" s="193" t="n"/>
      <c r="C225" s="193" t="n"/>
      <c r="D225" s="193" t="n"/>
      <c r="E225" s="193" t="n"/>
      <c r="F225" s="193" t="n"/>
      <c r="G225" s="193" t="n"/>
    </row>
    <row r="226" customFormat="1" s="194">
      <c r="A226" s="193" t="n"/>
      <c r="B226" s="193" t="n"/>
      <c r="C226" s="193" t="n"/>
      <c r="D226" s="193" t="n"/>
      <c r="E226" s="193" t="n"/>
      <c r="F226" s="193" t="n"/>
      <c r="G226" s="193" t="n"/>
      <c r="H226" s="193" t="n"/>
      <c r="I226" s="193" t="n"/>
      <c r="J226" s="193" t="n"/>
      <c r="K226" s="193" t="n"/>
      <c r="L226" s="193" t="n"/>
      <c r="M226" s="193" t="n"/>
      <c r="N226" s="193" t="n"/>
      <c r="O226" s="193" t="n"/>
      <c r="P226" s="193" t="n"/>
    </row>
    <row r="227">
      <c r="A227" s="193" t="n"/>
      <c r="B227" s="193" t="n"/>
      <c r="C227" s="193" t="n"/>
      <c r="D227" s="193" t="n"/>
      <c r="E227" s="193" t="n"/>
      <c r="F227" s="193" t="n"/>
      <c r="G227" s="193" t="n"/>
    </row>
    <row r="228" customFormat="1" s="194">
      <c r="A228" s="193" t="n"/>
      <c r="B228" s="193" t="n"/>
      <c r="C228" s="193" t="n"/>
      <c r="D228" s="193" t="n"/>
      <c r="E228" s="193" t="n"/>
      <c r="F228" s="193" t="n"/>
      <c r="G228" s="193" t="n"/>
      <c r="H228" s="193" t="n"/>
      <c r="I228" s="193" t="n"/>
      <c r="J228" s="193" t="n"/>
      <c r="K228" s="193" t="n"/>
      <c r="L228" s="193" t="n"/>
      <c r="M228" s="193" t="n"/>
      <c r="N228" s="193" t="n"/>
      <c r="O228" s="193" t="n"/>
      <c r="P228" s="193" t="n"/>
    </row>
    <row r="229">
      <c r="A229" s="193" t="n"/>
      <c r="B229" s="193" t="n"/>
      <c r="C229" s="193" t="n"/>
      <c r="D229" s="193" t="n"/>
      <c r="E229" s="193" t="n"/>
      <c r="F229" s="193" t="n"/>
      <c r="G229" s="193" t="n"/>
    </row>
    <row r="230" customFormat="1" s="194">
      <c r="A230" s="193" t="n"/>
      <c r="B230" s="193" t="n"/>
      <c r="C230" s="193" t="n"/>
      <c r="D230" s="193" t="n"/>
      <c r="E230" s="193" t="n"/>
      <c r="F230" s="193" t="n"/>
      <c r="G230" s="193" t="n"/>
      <c r="H230" s="193" t="n"/>
      <c r="I230" s="193" t="n"/>
      <c r="J230" s="193" t="n"/>
      <c r="K230" s="193" t="n"/>
      <c r="L230" s="193" t="n"/>
      <c r="M230" s="193" t="n"/>
      <c r="N230" s="193" t="n"/>
      <c r="O230" s="193" t="n"/>
      <c r="P230" s="193" t="n"/>
    </row>
    <row r="231">
      <c r="A231" s="193" t="n"/>
      <c r="B231" s="193" t="n"/>
      <c r="C231" s="193" t="n"/>
      <c r="D231" s="193" t="n"/>
      <c r="E231" s="193" t="n"/>
      <c r="F231" s="193" t="n"/>
      <c r="G231" s="193" t="n"/>
    </row>
    <row r="232" customFormat="1" s="194">
      <c r="A232" s="193" t="n"/>
      <c r="B232" s="193" t="n"/>
      <c r="C232" s="193" t="n"/>
      <c r="D232" s="193" t="n"/>
      <c r="E232" s="193" t="n"/>
      <c r="F232" s="193" t="n"/>
      <c r="G232" s="193" t="n"/>
      <c r="H232" s="193" t="n"/>
      <c r="I232" s="193" t="n"/>
      <c r="J232" s="193" t="n"/>
      <c r="K232" s="193" t="n"/>
      <c r="L232" s="193" t="n"/>
      <c r="M232" s="193" t="n"/>
      <c r="N232" s="193" t="n"/>
      <c r="O232" s="193" t="n"/>
      <c r="P232" s="193" t="n"/>
    </row>
    <row r="233" customFormat="1" s="194">
      <c r="A233" s="193" t="n"/>
      <c r="B233" s="193" t="n"/>
      <c r="C233" s="193" t="n"/>
      <c r="D233" s="193" t="n"/>
      <c r="E233" s="193" t="n"/>
      <c r="F233" s="193" t="n"/>
      <c r="G233" s="193" t="n"/>
      <c r="H233" s="193" t="n"/>
      <c r="I233" s="193" t="n"/>
      <c r="J233" s="193" t="n"/>
      <c r="K233" s="193" t="n"/>
      <c r="L233" s="193" t="n"/>
      <c r="M233" s="193" t="n"/>
      <c r="N233" s="193" t="n"/>
      <c r="O233" s="193" t="n"/>
      <c r="P233" s="193" t="n"/>
    </row>
    <row r="234">
      <c r="A234" s="193" t="n"/>
      <c r="B234" s="193" t="n"/>
      <c r="C234" s="193" t="n"/>
      <c r="D234" s="193" t="n"/>
      <c r="E234" s="193" t="n"/>
      <c r="F234" s="193" t="n"/>
      <c r="G234" s="193" t="n"/>
    </row>
    <row r="235" customFormat="1" s="194">
      <c r="A235" s="193" t="n"/>
      <c r="B235" s="193" t="n"/>
      <c r="C235" s="193" t="n"/>
      <c r="D235" s="193" t="n"/>
      <c r="E235" s="193" t="n"/>
      <c r="F235" s="193" t="n"/>
      <c r="G235" s="193" t="n"/>
      <c r="H235" s="193" t="n"/>
      <c r="I235" s="193" t="n"/>
      <c r="J235" s="193" t="n"/>
      <c r="K235" s="193" t="n"/>
      <c r="L235" s="193" t="n"/>
      <c r="M235" s="193" t="n"/>
      <c r="N235" s="193" t="n"/>
      <c r="O235" s="193" t="n"/>
      <c r="P235" s="193" t="n"/>
    </row>
    <row r="236">
      <c r="A236" s="193" t="n"/>
      <c r="B236" s="193" t="n"/>
      <c r="C236" s="193" t="n"/>
      <c r="D236" s="193" t="n"/>
      <c r="E236" s="193" t="n"/>
      <c r="F236" s="193" t="n"/>
      <c r="G236" s="193" t="n"/>
    </row>
    <row r="237" customFormat="1" s="194">
      <c r="A237" s="193" t="n"/>
      <c r="B237" s="193" t="n"/>
      <c r="C237" s="193" t="n"/>
      <c r="D237" s="193" t="n"/>
      <c r="E237" s="193" t="n"/>
      <c r="F237" s="193" t="n"/>
      <c r="G237" s="193" t="n"/>
      <c r="H237" s="193" t="n"/>
      <c r="I237" s="193" t="n"/>
      <c r="J237" s="193" t="n"/>
      <c r="K237" s="193" t="n"/>
      <c r="L237" s="193" t="n"/>
      <c r="M237" s="193" t="n"/>
      <c r="N237" s="193" t="n"/>
      <c r="O237" s="193" t="n"/>
      <c r="P237" s="193" t="n"/>
    </row>
    <row r="238">
      <c r="A238" s="193" t="n"/>
      <c r="B238" s="193" t="n"/>
      <c r="C238" s="193" t="n"/>
      <c r="D238" s="193" t="n"/>
      <c r="E238" s="193" t="n"/>
      <c r="F238" s="193" t="n"/>
      <c r="G238" s="193" t="n"/>
    </row>
    <row r="239" customFormat="1" s="194">
      <c r="A239" s="193" t="n"/>
      <c r="B239" s="193" t="n"/>
      <c r="C239" s="193" t="n"/>
      <c r="D239" s="193" t="n"/>
      <c r="E239" s="193" t="n"/>
      <c r="F239" s="193" t="n"/>
      <c r="G239" s="193" t="n"/>
      <c r="H239" s="193" t="n"/>
      <c r="I239" s="193" t="n"/>
      <c r="J239" s="193" t="n"/>
      <c r="K239" s="193" t="n"/>
      <c r="L239" s="193" t="n"/>
      <c r="M239" s="193" t="n"/>
      <c r="N239" s="193" t="n"/>
      <c r="O239" s="193" t="n"/>
      <c r="P239" s="193" t="n"/>
    </row>
    <row r="240">
      <c r="A240" s="193" t="n"/>
      <c r="B240" s="193" t="n"/>
      <c r="C240" s="193" t="n"/>
      <c r="D240" s="193" t="n"/>
      <c r="E240" s="193" t="n"/>
      <c r="F240" s="193" t="n"/>
      <c r="G240" s="193" t="n"/>
    </row>
    <row r="241" customFormat="1" s="194">
      <c r="A241" s="193" t="n"/>
      <c r="B241" s="193" t="n"/>
      <c r="C241" s="193" t="n"/>
      <c r="D241" s="193" t="n"/>
      <c r="E241" s="193" t="n"/>
      <c r="F241" s="193" t="n"/>
      <c r="G241" s="193" t="n"/>
      <c r="H241" s="193" t="n"/>
      <c r="I241" s="193" t="n"/>
      <c r="J241" s="193" t="n"/>
      <c r="K241" s="193" t="n"/>
      <c r="L241" s="193" t="n"/>
      <c r="M241" s="193" t="n"/>
      <c r="N241" s="193" t="n"/>
      <c r="O241" s="193" t="n"/>
      <c r="P241" s="193" t="n"/>
    </row>
    <row r="242">
      <c r="A242" s="193" t="n"/>
      <c r="B242" s="193" t="n"/>
      <c r="C242" s="193" t="n"/>
      <c r="D242" s="193" t="n"/>
      <c r="E242" s="193" t="n"/>
      <c r="F242" s="193" t="n"/>
      <c r="G242" s="193" t="n"/>
    </row>
    <row r="243" customFormat="1" s="194">
      <c r="A243" s="193" t="n"/>
      <c r="B243" s="193" t="n"/>
      <c r="C243" s="193" t="n"/>
      <c r="D243" s="193" t="n"/>
      <c r="E243" s="193" t="n"/>
      <c r="F243" s="193" t="n"/>
      <c r="G243" s="193" t="n"/>
      <c r="H243" s="193" t="n"/>
      <c r="I243" s="193" t="n"/>
      <c r="J243" s="193" t="n"/>
      <c r="K243" s="193" t="n"/>
      <c r="L243" s="193" t="n"/>
      <c r="M243" s="193" t="n"/>
      <c r="N243" s="193" t="n"/>
      <c r="O243" s="193" t="n"/>
      <c r="P243" s="193" t="n"/>
    </row>
    <row r="244" customFormat="1" s="194">
      <c r="A244" s="193" t="n"/>
      <c r="B244" s="193" t="n"/>
      <c r="C244" s="193" t="n"/>
      <c r="D244" s="193" t="n"/>
      <c r="E244" s="193" t="n"/>
      <c r="F244" s="193" t="n"/>
      <c r="G244" s="193" t="n"/>
      <c r="H244" s="193" t="n"/>
      <c r="I244" s="193" t="n"/>
      <c r="J244" s="193" t="n"/>
      <c r="K244" s="193" t="n"/>
      <c r="L244" s="193" t="n"/>
      <c r="M244" s="193" t="n"/>
      <c r="N244" s="193" t="n"/>
      <c r="O244" s="193" t="n"/>
      <c r="P244" s="193" t="n"/>
    </row>
    <row r="245">
      <c r="A245" s="193" t="n"/>
      <c r="B245" s="193" t="n"/>
      <c r="C245" s="193" t="n"/>
      <c r="D245" s="193" t="n"/>
      <c r="E245" s="193" t="n"/>
      <c r="F245" s="193" t="n"/>
      <c r="G245" s="193" t="n"/>
    </row>
    <row r="246" customFormat="1" s="194">
      <c r="A246" s="193" t="n"/>
      <c r="B246" s="193" t="n"/>
      <c r="C246" s="193" t="n"/>
      <c r="D246" s="193" t="n"/>
      <c r="E246" s="193" t="n"/>
      <c r="F246" s="193" t="n"/>
      <c r="G246" s="193" t="n"/>
      <c r="H246" s="193" t="n"/>
      <c r="I246" s="193" t="n"/>
      <c r="J246" s="193" t="n"/>
      <c r="K246" s="193" t="n"/>
      <c r="L246" s="193" t="n"/>
      <c r="M246" s="193" t="n"/>
      <c r="N246" s="193" t="n"/>
      <c r="O246" s="193" t="n"/>
      <c r="P246" s="193" t="n"/>
    </row>
    <row r="247">
      <c r="A247" s="193" t="n"/>
      <c r="B247" s="193" t="n"/>
      <c r="C247" s="193" t="n"/>
      <c r="D247" s="193" t="n"/>
      <c r="E247" s="193" t="n"/>
      <c r="F247" s="193" t="n"/>
      <c r="G247" s="193" t="n"/>
    </row>
    <row r="248" customFormat="1" s="194">
      <c r="A248" s="193" t="n"/>
      <c r="B248" s="193" t="n"/>
      <c r="C248" s="193" t="n"/>
      <c r="D248" s="193" t="n"/>
      <c r="E248" s="193" t="n"/>
      <c r="F248" s="193" t="n"/>
      <c r="G248" s="193" t="n"/>
      <c r="H248" s="193" t="n"/>
      <c r="I248" s="193" t="n"/>
      <c r="J248" s="193" t="n"/>
      <c r="K248" s="193" t="n"/>
      <c r="L248" s="193" t="n"/>
      <c r="M248" s="193" t="n"/>
      <c r="N248" s="193" t="n"/>
      <c r="O248" s="193" t="n"/>
      <c r="P248" s="193" t="n"/>
    </row>
    <row r="249">
      <c r="A249" s="193" t="n"/>
      <c r="B249" s="193" t="n"/>
      <c r="C249" s="193" t="n"/>
      <c r="D249" s="193" t="n"/>
      <c r="E249" s="193" t="n"/>
      <c r="F249" s="193" t="n"/>
      <c r="G249" s="193" t="n"/>
    </row>
    <row r="250" customFormat="1" s="194">
      <c r="A250" s="193" t="n"/>
      <c r="B250" s="193" t="n"/>
      <c r="C250" s="193" t="n"/>
      <c r="D250" s="193" t="n"/>
      <c r="E250" s="193" t="n"/>
      <c r="F250" s="193" t="n"/>
      <c r="G250" s="193" t="n"/>
      <c r="H250" s="193" t="n"/>
      <c r="I250" s="193" t="n"/>
      <c r="J250" s="193" t="n"/>
      <c r="K250" s="193" t="n"/>
      <c r="L250" s="193" t="n"/>
      <c r="M250" s="193" t="n"/>
      <c r="N250" s="193" t="n"/>
      <c r="O250" s="193" t="n"/>
      <c r="P250" s="193" t="n"/>
    </row>
    <row r="251">
      <c r="A251" s="193" t="n"/>
      <c r="B251" s="193" t="n"/>
      <c r="C251" s="193" t="n"/>
      <c r="D251" s="193" t="n"/>
      <c r="E251" s="193" t="n"/>
      <c r="F251" s="193" t="n"/>
      <c r="G251" s="193" t="n"/>
    </row>
    <row r="252" customFormat="1" s="194">
      <c r="A252" s="193" t="n"/>
      <c r="B252" s="193" t="n"/>
      <c r="C252" s="193" t="n"/>
      <c r="D252" s="193" t="n"/>
      <c r="E252" s="193" t="n"/>
      <c r="F252" s="193" t="n"/>
      <c r="G252" s="193" t="n"/>
      <c r="H252" s="193" t="n"/>
      <c r="I252" s="193" t="n"/>
      <c r="J252" s="193" t="n"/>
      <c r="K252" s="193" t="n"/>
      <c r="L252" s="193" t="n"/>
      <c r="M252" s="193" t="n"/>
      <c r="N252" s="193" t="n"/>
      <c r="O252" s="193" t="n"/>
      <c r="P252" s="193" t="n"/>
    </row>
    <row r="253">
      <c r="A253" s="193" t="n"/>
      <c r="B253" s="193" t="n"/>
      <c r="C253" s="193" t="n"/>
      <c r="D253" s="193" t="n"/>
      <c r="E253" s="193" t="n"/>
      <c r="F253" s="193" t="n"/>
      <c r="G253" s="193" t="n"/>
    </row>
    <row r="254" customFormat="1" s="194">
      <c r="A254" s="193" t="n"/>
      <c r="B254" s="193" t="n"/>
      <c r="C254" s="193" t="n"/>
      <c r="D254" s="193" t="n"/>
      <c r="E254" s="193" t="n"/>
      <c r="F254" s="193" t="n"/>
      <c r="G254" s="193" t="n"/>
      <c r="H254" s="193" t="n"/>
      <c r="I254" s="193" t="n"/>
      <c r="J254" s="193" t="n"/>
      <c r="K254" s="193" t="n"/>
      <c r="L254" s="193" t="n"/>
      <c r="M254" s="193" t="n"/>
      <c r="N254" s="193" t="n"/>
      <c r="O254" s="193" t="n"/>
      <c r="P254" s="193" t="n"/>
    </row>
    <row r="255" customFormat="1" s="194">
      <c r="A255" s="193" t="n"/>
      <c r="B255" s="193" t="n"/>
      <c r="C255" s="193" t="n"/>
      <c r="D255" s="193" t="n"/>
      <c r="E255" s="193" t="n"/>
      <c r="F255" s="193" t="n"/>
      <c r="G255" s="193" t="n"/>
      <c r="H255" s="193" t="n"/>
      <c r="I255" s="193" t="n"/>
      <c r="J255" s="193" t="n"/>
      <c r="K255" s="193" t="n"/>
      <c r="L255" s="193" t="n"/>
      <c r="M255" s="193" t="n"/>
      <c r="N255" s="193" t="n"/>
      <c r="O255" s="193" t="n"/>
      <c r="P255" s="193" t="n"/>
    </row>
    <row r="256">
      <c r="A256" s="193" t="n"/>
      <c r="B256" s="193" t="n"/>
      <c r="C256" s="193" t="n"/>
      <c r="D256" s="193" t="n"/>
      <c r="E256" s="193" t="n"/>
      <c r="F256" s="193" t="n"/>
      <c r="G256" s="193" t="n"/>
    </row>
    <row r="257" customFormat="1" s="194">
      <c r="A257" s="193" t="n"/>
      <c r="B257" s="193" t="n"/>
      <c r="C257" s="193" t="n"/>
      <c r="D257" s="193" t="n"/>
      <c r="E257" s="193" t="n"/>
      <c r="F257" s="193" t="n"/>
      <c r="G257" s="193" t="n"/>
      <c r="H257" s="193" t="n"/>
      <c r="I257" s="193" t="n"/>
      <c r="J257" s="193" t="n"/>
      <c r="K257" s="193" t="n"/>
      <c r="L257" s="193" t="n"/>
      <c r="M257" s="193" t="n"/>
      <c r="N257" s="193" t="n"/>
      <c r="O257" s="193" t="n"/>
      <c r="P257" s="193" t="n"/>
    </row>
    <row r="258">
      <c r="A258" s="193" t="n"/>
      <c r="B258" s="193" t="n"/>
      <c r="C258" s="193" t="n"/>
      <c r="D258" s="193" t="n"/>
      <c r="E258" s="193" t="n"/>
      <c r="F258" s="193" t="n"/>
      <c r="G258" s="193" t="n"/>
    </row>
    <row r="259" customFormat="1" s="194">
      <c r="A259" s="193" t="n"/>
      <c r="B259" s="193" t="n"/>
      <c r="C259" s="193" t="n"/>
      <c r="D259" s="193" t="n"/>
      <c r="E259" s="193" t="n"/>
      <c r="F259" s="193" t="n"/>
      <c r="G259" s="193" t="n"/>
      <c r="H259" s="193" t="n"/>
      <c r="I259" s="193" t="n"/>
      <c r="J259" s="193" t="n"/>
      <c r="K259" s="193" t="n"/>
      <c r="L259" s="193" t="n"/>
      <c r="M259" s="193" t="n"/>
      <c r="N259" s="193" t="n"/>
      <c r="O259" s="193" t="n"/>
      <c r="P259" s="193" t="n"/>
    </row>
    <row r="260">
      <c r="A260" s="193" t="n"/>
      <c r="B260" s="193" t="n"/>
      <c r="C260" s="193" t="n"/>
      <c r="D260" s="193" t="n"/>
      <c r="E260" s="193" t="n"/>
      <c r="F260" s="193" t="n"/>
      <c r="G260" s="193" t="n"/>
    </row>
    <row r="261" customFormat="1" s="194">
      <c r="A261" s="193" t="n"/>
      <c r="B261" s="193" t="n"/>
      <c r="C261" s="193" t="n"/>
      <c r="D261" s="193" t="n"/>
      <c r="E261" s="193" t="n"/>
      <c r="F261" s="193" t="n"/>
      <c r="G261" s="193" t="n"/>
      <c r="H261" s="193" t="n"/>
      <c r="I261" s="193" t="n"/>
      <c r="J261" s="193" t="n"/>
      <c r="K261" s="193" t="n"/>
      <c r="L261" s="193" t="n"/>
      <c r="M261" s="193" t="n"/>
      <c r="N261" s="193" t="n"/>
      <c r="O261" s="193" t="n"/>
      <c r="P261" s="193" t="n"/>
    </row>
    <row r="262">
      <c r="A262" s="193" t="n"/>
      <c r="B262" s="193" t="n"/>
      <c r="C262" s="193" t="n"/>
      <c r="D262" s="193" t="n"/>
      <c r="E262" s="193" t="n"/>
      <c r="F262" s="193" t="n"/>
      <c r="G262" s="193" t="n"/>
    </row>
    <row r="263" customFormat="1" s="194">
      <c r="A263" s="193" t="n"/>
      <c r="B263" s="193" t="n"/>
      <c r="C263" s="193" t="n"/>
      <c r="D263" s="193" t="n"/>
      <c r="E263" s="193" t="n"/>
      <c r="F263" s="193" t="n"/>
      <c r="G263" s="193" t="n"/>
      <c r="H263" s="193" t="n"/>
      <c r="I263" s="193" t="n"/>
      <c r="J263" s="193" t="n"/>
      <c r="K263" s="193" t="n"/>
      <c r="L263" s="193" t="n"/>
      <c r="M263" s="193" t="n"/>
      <c r="N263" s="193" t="n"/>
      <c r="O263" s="193" t="n"/>
      <c r="P263" s="193" t="n"/>
    </row>
    <row r="264">
      <c r="A264" s="193" t="n"/>
      <c r="B264" s="193" t="n"/>
      <c r="C264" s="193" t="n"/>
      <c r="D264" s="193" t="n"/>
      <c r="E264" s="193" t="n"/>
      <c r="F264" s="193" t="n"/>
      <c r="G264" s="193" t="n"/>
    </row>
    <row r="265" customFormat="1" s="194">
      <c r="A265" s="193" t="n"/>
      <c r="B265" s="193" t="n"/>
      <c r="C265" s="193" t="n"/>
      <c r="D265" s="193" t="n"/>
      <c r="E265" s="193" t="n"/>
      <c r="F265" s="193" t="n"/>
      <c r="G265" s="193" t="n"/>
      <c r="H265" s="193" t="n"/>
      <c r="I265" s="193" t="n"/>
      <c r="J265" s="193" t="n"/>
      <c r="K265" s="193" t="n"/>
      <c r="L265" s="193" t="n"/>
      <c r="M265" s="193" t="n"/>
      <c r="N265" s="193" t="n"/>
      <c r="O265" s="193" t="n"/>
      <c r="P265" s="193" t="n"/>
    </row>
    <row r="266" customFormat="1" s="194">
      <c r="A266" s="193" t="n"/>
      <c r="B266" s="193" t="n"/>
      <c r="C266" s="193" t="n"/>
      <c r="D266" s="193" t="n"/>
      <c r="E266" s="193" t="n"/>
      <c r="F266" s="193" t="n"/>
      <c r="G266" s="193" t="n"/>
      <c r="H266" s="193" t="n"/>
      <c r="I266" s="193" t="n"/>
      <c r="J266" s="193" t="n"/>
      <c r="K266" s="193" t="n"/>
      <c r="L266" s="193" t="n"/>
      <c r="M266" s="193" t="n"/>
      <c r="N266" s="193" t="n"/>
      <c r="O266" s="193" t="n"/>
      <c r="P266" s="193" t="n"/>
    </row>
    <row r="267">
      <c r="A267" s="193" t="n"/>
      <c r="B267" s="193" t="n"/>
      <c r="C267" s="193" t="n"/>
      <c r="D267" s="193" t="n"/>
      <c r="E267" s="193" t="n"/>
      <c r="F267" s="193" t="n"/>
      <c r="G267" s="193" t="n"/>
    </row>
    <row r="268" customFormat="1" s="194">
      <c r="A268" s="193" t="n"/>
      <c r="B268" s="193" t="n"/>
      <c r="C268" s="193" t="n"/>
      <c r="D268" s="193" t="n"/>
      <c r="E268" s="193" t="n"/>
      <c r="F268" s="193" t="n"/>
      <c r="G268" s="193" t="n"/>
      <c r="H268" s="193" t="n"/>
      <c r="I268" s="193" t="n"/>
      <c r="J268" s="193" t="n"/>
      <c r="K268" s="193" t="n"/>
      <c r="L268" s="193" t="n"/>
      <c r="M268" s="193" t="n"/>
      <c r="N268" s="193" t="n"/>
      <c r="O268" s="193" t="n"/>
      <c r="P268" s="193" t="n"/>
    </row>
    <row r="269">
      <c r="A269" s="193" t="n"/>
      <c r="B269" s="193" t="n"/>
      <c r="C269" s="193" t="n"/>
      <c r="D269" s="193" t="n"/>
      <c r="E269" s="193" t="n"/>
      <c r="F269" s="193" t="n"/>
      <c r="G269" s="193" t="n"/>
    </row>
    <row r="270" customFormat="1" s="194">
      <c r="A270" s="193" t="n"/>
      <c r="B270" s="193" t="n"/>
      <c r="C270" s="193" t="n"/>
      <c r="D270" s="193" t="n"/>
      <c r="E270" s="193" t="n"/>
      <c r="F270" s="193" t="n"/>
      <c r="G270" s="193" t="n"/>
      <c r="H270" s="193" t="n"/>
      <c r="I270" s="193" t="n"/>
      <c r="J270" s="193" t="n"/>
      <c r="K270" s="193" t="n"/>
      <c r="L270" s="193" t="n"/>
      <c r="M270" s="193" t="n"/>
      <c r="N270" s="193" t="n"/>
      <c r="O270" s="193" t="n"/>
      <c r="P270" s="193" t="n"/>
    </row>
    <row r="271">
      <c r="A271" s="193" t="n"/>
      <c r="B271" s="193" t="n"/>
      <c r="C271" s="193" t="n"/>
      <c r="D271" s="193" t="n"/>
      <c r="E271" s="193" t="n"/>
      <c r="F271" s="193" t="n"/>
      <c r="G271" s="193" t="n"/>
    </row>
    <row r="272" customFormat="1" s="194">
      <c r="A272" s="193" t="n"/>
      <c r="B272" s="193" t="n"/>
      <c r="C272" s="193" t="n"/>
      <c r="D272" s="193" t="n"/>
      <c r="E272" s="193" t="n"/>
      <c r="F272" s="193" t="n"/>
      <c r="G272" s="193" t="n"/>
      <c r="H272" s="193" t="n"/>
      <c r="I272" s="193" t="n"/>
      <c r="J272" s="193" t="n"/>
      <c r="K272" s="193" t="n"/>
      <c r="L272" s="193" t="n"/>
      <c r="M272" s="193" t="n"/>
      <c r="N272" s="193" t="n"/>
      <c r="O272" s="193" t="n"/>
      <c r="P272" s="193" t="n"/>
    </row>
    <row r="273">
      <c r="A273" s="193" t="n"/>
      <c r="B273" s="193" t="n"/>
      <c r="C273" s="193" t="n"/>
      <c r="D273" s="193" t="n"/>
      <c r="E273" s="193" t="n"/>
      <c r="F273" s="193" t="n"/>
      <c r="G273" s="193" t="n"/>
    </row>
    <row r="274" customFormat="1" s="194">
      <c r="A274" s="193" t="n"/>
      <c r="B274" s="193" t="n"/>
      <c r="C274" s="193" t="n"/>
      <c r="D274" s="193" t="n"/>
      <c r="E274" s="193" t="n"/>
      <c r="F274" s="193" t="n"/>
      <c r="G274" s="193" t="n"/>
      <c r="H274" s="193" t="n"/>
      <c r="I274" s="193" t="n"/>
      <c r="J274" s="193" t="n"/>
      <c r="K274" s="193" t="n"/>
      <c r="L274" s="193" t="n"/>
      <c r="M274" s="193" t="n"/>
      <c r="N274" s="193" t="n"/>
      <c r="O274" s="193" t="n"/>
      <c r="P274" s="193" t="n"/>
    </row>
    <row r="275">
      <c r="A275" s="193" t="n"/>
      <c r="B275" s="193" t="n"/>
      <c r="C275" s="193" t="n"/>
      <c r="D275" s="193" t="n"/>
      <c r="E275" s="193" t="n"/>
      <c r="F275" s="193" t="n"/>
      <c r="G275" s="193" t="n"/>
    </row>
    <row r="276" customFormat="1" s="194">
      <c r="A276" s="193" t="n"/>
      <c r="B276" s="193" t="n"/>
      <c r="C276" s="193" t="n"/>
      <c r="D276" s="193" t="n"/>
      <c r="E276" s="193" t="n"/>
      <c r="F276" s="193" t="n"/>
      <c r="G276" s="193" t="n"/>
      <c r="H276" s="193" t="n"/>
      <c r="I276" s="193" t="n"/>
      <c r="J276" s="193" t="n"/>
      <c r="K276" s="193" t="n"/>
      <c r="L276" s="193" t="n"/>
      <c r="M276" s="193" t="n"/>
      <c r="N276" s="193" t="n"/>
      <c r="O276" s="193" t="n"/>
      <c r="P276" s="193" t="n"/>
    </row>
    <row r="277" customFormat="1" s="194">
      <c r="A277" s="193" t="n"/>
      <c r="B277" s="193" t="n"/>
      <c r="C277" s="193" t="n"/>
      <c r="D277" s="193" t="n"/>
      <c r="E277" s="193" t="n"/>
      <c r="F277" s="193" t="n"/>
      <c r="G277" s="193" t="n"/>
      <c r="H277" s="193" t="n"/>
      <c r="I277" s="193" t="n"/>
      <c r="J277" s="193" t="n"/>
      <c r="K277" s="193" t="n"/>
      <c r="L277" s="193" t="n"/>
      <c r="M277" s="193" t="n"/>
      <c r="N277" s="193" t="n"/>
      <c r="O277" s="193" t="n"/>
      <c r="P277" s="193" t="n"/>
    </row>
    <row r="278">
      <c r="A278" s="193" t="n"/>
      <c r="B278" s="193" t="n"/>
      <c r="C278" s="193" t="n"/>
      <c r="D278" s="193" t="n"/>
      <c r="E278" s="193" t="n"/>
      <c r="F278" s="193" t="n"/>
      <c r="G278" s="193" t="n"/>
    </row>
    <row r="279" customFormat="1" s="194">
      <c r="A279" s="193" t="n"/>
      <c r="B279" s="193" t="n"/>
      <c r="C279" s="193" t="n"/>
      <c r="D279" s="193" t="n"/>
      <c r="E279" s="193" t="n"/>
      <c r="F279" s="193" t="n"/>
      <c r="G279" s="193" t="n"/>
      <c r="H279" s="193" t="n"/>
      <c r="I279" s="193" t="n"/>
      <c r="J279" s="193" t="n"/>
      <c r="K279" s="193" t="n"/>
      <c r="L279" s="193" t="n"/>
      <c r="M279" s="193" t="n"/>
      <c r="N279" s="193" t="n"/>
      <c r="O279" s="193" t="n"/>
      <c r="P279" s="193" t="n"/>
    </row>
    <row r="280">
      <c r="A280" s="193" t="n"/>
      <c r="B280" s="193" t="n"/>
      <c r="C280" s="193" t="n"/>
      <c r="D280" s="193" t="n"/>
      <c r="E280" s="193" t="n"/>
      <c r="F280" s="193" t="n"/>
      <c r="G280" s="193" t="n"/>
    </row>
    <row r="281" customFormat="1" s="194">
      <c r="A281" s="193" t="n"/>
      <c r="B281" s="193" t="n"/>
      <c r="C281" s="193" t="n"/>
      <c r="D281" s="193" t="n"/>
      <c r="E281" s="193" t="n"/>
      <c r="F281" s="193" t="n"/>
      <c r="G281" s="193" t="n"/>
      <c r="H281" s="193" t="n"/>
      <c r="I281" s="193" t="n"/>
      <c r="J281" s="193" t="n"/>
      <c r="K281" s="193" t="n"/>
      <c r="L281" s="193" t="n"/>
      <c r="M281" s="193" t="n"/>
      <c r="N281" s="193" t="n"/>
      <c r="O281" s="193" t="n"/>
      <c r="P281" s="193" t="n"/>
    </row>
    <row r="282">
      <c r="A282" s="193" t="n"/>
      <c r="B282" s="193" t="n"/>
      <c r="C282" s="193" t="n"/>
      <c r="D282" s="193" t="n"/>
      <c r="E282" s="193" t="n"/>
      <c r="F282" s="193" t="n"/>
      <c r="G282" s="193" t="n"/>
    </row>
    <row r="283" customFormat="1" s="194">
      <c r="A283" s="193" t="n"/>
      <c r="B283" s="193" t="n"/>
      <c r="C283" s="193" t="n"/>
      <c r="D283" s="193" t="n"/>
      <c r="E283" s="193" t="n"/>
      <c r="F283" s="193" t="n"/>
      <c r="G283" s="193" t="n"/>
      <c r="H283" s="193" t="n"/>
      <c r="I283" s="193" t="n"/>
      <c r="J283" s="193" t="n"/>
      <c r="K283" s="193" t="n"/>
      <c r="L283" s="193" t="n"/>
      <c r="M283" s="193" t="n"/>
      <c r="N283" s="193" t="n"/>
      <c r="O283" s="193" t="n"/>
      <c r="P283" s="193" t="n"/>
    </row>
    <row r="284">
      <c r="A284" s="193" t="n"/>
      <c r="B284" s="193" t="n"/>
      <c r="C284" s="193" t="n"/>
      <c r="D284" s="193" t="n"/>
      <c r="E284" s="193" t="n"/>
      <c r="F284" s="193" t="n"/>
      <c r="G284" s="193" t="n"/>
    </row>
    <row r="285" customFormat="1" s="194">
      <c r="A285" s="193" t="n"/>
      <c r="B285" s="193" t="n"/>
      <c r="C285" s="193" t="n"/>
      <c r="D285" s="193" t="n"/>
      <c r="E285" s="193" t="n"/>
      <c r="F285" s="193" t="n"/>
      <c r="G285" s="193" t="n"/>
      <c r="H285" s="193" t="n"/>
      <c r="I285" s="193" t="n"/>
      <c r="J285" s="193" t="n"/>
      <c r="K285" s="193" t="n"/>
      <c r="L285" s="193" t="n"/>
      <c r="M285" s="193" t="n"/>
      <c r="N285" s="193" t="n"/>
      <c r="O285" s="193" t="n"/>
      <c r="P285" s="193" t="n"/>
    </row>
    <row r="286">
      <c r="A286" s="193" t="n"/>
      <c r="B286" s="193" t="n"/>
      <c r="C286" s="193" t="n"/>
      <c r="D286" s="193" t="n"/>
      <c r="E286" s="193" t="n"/>
      <c r="F286" s="193" t="n"/>
      <c r="G286" s="193" t="n"/>
    </row>
    <row r="287" customFormat="1" s="194">
      <c r="A287" s="193" t="n"/>
      <c r="B287" s="193" t="n"/>
      <c r="C287" s="193" t="n"/>
      <c r="D287" s="193" t="n"/>
      <c r="E287" s="193" t="n"/>
      <c r="F287" s="193" t="n"/>
      <c r="G287" s="193" t="n"/>
      <c r="H287" s="193" t="n"/>
      <c r="I287" s="193" t="n"/>
      <c r="J287" s="193" t="n"/>
      <c r="K287" s="193" t="n"/>
      <c r="L287" s="193" t="n"/>
      <c r="M287" s="193" t="n"/>
      <c r="N287" s="193" t="n"/>
      <c r="O287" s="193" t="n"/>
      <c r="P287" s="193" t="n"/>
    </row>
    <row r="288" customFormat="1" s="194">
      <c r="A288" s="193" t="n"/>
      <c r="B288" s="193" t="n"/>
      <c r="C288" s="193" t="n"/>
      <c r="D288" s="193" t="n"/>
      <c r="E288" s="193" t="n"/>
      <c r="F288" s="193" t="n"/>
      <c r="G288" s="193" t="n"/>
      <c r="H288" s="193" t="n"/>
      <c r="I288" s="193" t="n"/>
      <c r="J288" s="193" t="n"/>
      <c r="K288" s="193" t="n"/>
      <c r="L288" s="193" t="n"/>
      <c r="M288" s="193" t="n"/>
      <c r="N288" s="193" t="n"/>
      <c r="O288" s="193" t="n"/>
      <c r="P288" s="193" t="n"/>
    </row>
    <row r="289">
      <c r="A289" s="193" t="n"/>
      <c r="B289" s="193" t="n"/>
      <c r="C289" s="193" t="n"/>
      <c r="D289" s="193" t="n"/>
      <c r="E289" s="193" t="n"/>
      <c r="F289" s="193" t="n"/>
      <c r="G289" s="193" t="n"/>
    </row>
    <row r="290" customFormat="1" s="194">
      <c r="A290" s="193" t="n"/>
      <c r="B290" s="193" t="n"/>
      <c r="C290" s="193" t="n"/>
      <c r="D290" s="193" t="n"/>
      <c r="E290" s="193" t="n"/>
      <c r="F290" s="193" t="n"/>
      <c r="G290" s="193" t="n"/>
      <c r="H290" s="193" t="n"/>
      <c r="I290" s="193" t="n"/>
      <c r="J290" s="193" t="n"/>
      <c r="K290" s="193" t="n"/>
      <c r="L290" s="193" t="n"/>
      <c r="M290" s="193" t="n"/>
      <c r="N290" s="193" t="n"/>
      <c r="O290" s="193" t="n"/>
      <c r="P290" s="193" t="n"/>
    </row>
    <row r="291">
      <c r="A291" s="193" t="n"/>
      <c r="B291" s="193" t="n"/>
      <c r="C291" s="193" t="n"/>
      <c r="D291" s="193" t="n"/>
      <c r="E291" s="193" t="n"/>
      <c r="F291" s="193" t="n"/>
      <c r="G291" s="193" t="n"/>
    </row>
    <row r="292" customFormat="1" s="194">
      <c r="A292" s="193" t="n"/>
      <c r="B292" s="193" t="n"/>
      <c r="C292" s="193" t="n"/>
      <c r="D292" s="193" t="n"/>
      <c r="E292" s="193" t="n"/>
      <c r="F292" s="193" t="n"/>
      <c r="G292" s="193" t="n"/>
      <c r="H292" s="193" t="n"/>
      <c r="I292" s="193" t="n"/>
      <c r="J292" s="193" t="n"/>
      <c r="K292" s="193" t="n"/>
      <c r="L292" s="193" t="n"/>
      <c r="M292" s="193" t="n"/>
      <c r="N292" s="193" t="n"/>
      <c r="O292" s="193" t="n"/>
      <c r="P292" s="193" t="n"/>
    </row>
    <row r="293">
      <c r="A293" s="193" t="n"/>
      <c r="B293" s="193" t="n"/>
      <c r="C293" s="193" t="n"/>
      <c r="D293" s="193" t="n"/>
      <c r="E293" s="193" t="n"/>
      <c r="F293" s="193" t="n"/>
      <c r="G293" s="193" t="n"/>
    </row>
    <row r="294" customFormat="1" s="194">
      <c r="A294" s="193" t="n"/>
      <c r="B294" s="193" t="n"/>
      <c r="C294" s="193" t="n"/>
      <c r="D294" s="193" t="n"/>
      <c r="E294" s="193" t="n"/>
      <c r="F294" s="193" t="n"/>
      <c r="G294" s="193" t="n"/>
      <c r="H294" s="193" t="n"/>
      <c r="I294" s="193" t="n"/>
      <c r="J294" s="193" t="n"/>
      <c r="K294" s="193" t="n"/>
      <c r="L294" s="193" t="n"/>
      <c r="M294" s="193" t="n"/>
      <c r="N294" s="193" t="n"/>
      <c r="O294" s="193" t="n"/>
      <c r="P294" s="193" t="n"/>
    </row>
    <row r="295">
      <c r="A295" s="193" t="n"/>
      <c r="B295" s="193" t="n"/>
      <c r="C295" s="193" t="n"/>
      <c r="D295" s="193" t="n"/>
      <c r="E295" s="193" t="n"/>
      <c r="F295" s="193" t="n"/>
      <c r="G295" s="193" t="n"/>
    </row>
    <row r="296" customFormat="1" s="194">
      <c r="A296" s="193" t="n"/>
      <c r="B296" s="193" t="n"/>
      <c r="C296" s="193" t="n"/>
      <c r="D296" s="193" t="n"/>
      <c r="E296" s="193" t="n"/>
      <c r="F296" s="193" t="n"/>
      <c r="G296" s="193" t="n"/>
      <c r="H296" s="193" t="n"/>
      <c r="I296" s="193" t="n"/>
      <c r="J296" s="193" t="n"/>
      <c r="K296" s="193" t="n"/>
      <c r="L296" s="193" t="n"/>
      <c r="M296" s="193" t="n"/>
      <c r="N296" s="193" t="n"/>
      <c r="O296" s="193" t="n"/>
      <c r="P296" s="193" t="n"/>
    </row>
    <row r="297">
      <c r="A297" s="193" t="n"/>
      <c r="B297" s="193" t="n"/>
      <c r="C297" s="193" t="n"/>
      <c r="D297" s="193" t="n"/>
      <c r="E297" s="193" t="n"/>
      <c r="F297" s="193" t="n"/>
      <c r="G297" s="193" t="n"/>
    </row>
    <row r="298" customFormat="1" s="194">
      <c r="A298" s="193" t="n"/>
      <c r="B298" s="193" t="n"/>
      <c r="C298" s="193" t="n"/>
      <c r="D298" s="193" t="n"/>
      <c r="E298" s="193" t="n"/>
      <c r="F298" s="193" t="n"/>
      <c r="G298" s="193" t="n"/>
      <c r="H298" s="193" t="n"/>
      <c r="I298" s="193" t="n"/>
      <c r="J298" s="193" t="n"/>
      <c r="K298" s="193" t="n"/>
      <c r="L298" s="193" t="n"/>
      <c r="M298" s="193" t="n"/>
      <c r="N298" s="193" t="n"/>
      <c r="O298" s="193" t="n"/>
      <c r="P298" s="193" t="n"/>
    </row>
    <row r="299" customFormat="1" s="194">
      <c r="A299" s="193" t="n"/>
      <c r="B299" s="193" t="n"/>
      <c r="C299" s="193" t="n"/>
      <c r="D299" s="193" t="n"/>
      <c r="E299" s="193" t="n"/>
      <c r="F299" s="193" t="n"/>
      <c r="G299" s="193" t="n"/>
      <c r="H299" s="193" t="n"/>
      <c r="I299" s="193" t="n"/>
      <c r="J299" s="193" t="n"/>
      <c r="K299" s="193" t="n"/>
      <c r="L299" s="193" t="n"/>
      <c r="M299" s="193" t="n"/>
      <c r="N299" s="193" t="n"/>
      <c r="O299" s="193" t="n"/>
      <c r="P299" s="193" t="n"/>
    </row>
    <row r="300">
      <c r="A300" s="193" t="n"/>
      <c r="B300" s="193" t="n"/>
      <c r="C300" s="193" t="n"/>
      <c r="D300" s="193" t="n"/>
      <c r="E300" s="193" t="n"/>
      <c r="F300" s="193" t="n"/>
      <c r="G300" s="193" t="n"/>
    </row>
    <row r="301" customFormat="1" s="194">
      <c r="A301" s="193" t="n"/>
      <c r="B301" s="193" t="n"/>
      <c r="C301" s="193" t="n"/>
      <c r="D301" s="193" t="n"/>
      <c r="E301" s="193" t="n"/>
      <c r="F301" s="193" t="n"/>
      <c r="G301" s="193" t="n"/>
      <c r="H301" s="193" t="n"/>
      <c r="I301" s="193" t="n"/>
      <c r="J301" s="193" t="n"/>
      <c r="K301" s="193" t="n"/>
      <c r="L301" s="193" t="n"/>
      <c r="M301" s="193" t="n"/>
      <c r="N301" s="193" t="n"/>
      <c r="O301" s="193" t="n"/>
      <c r="P301" s="193" t="n"/>
    </row>
    <row r="302">
      <c r="A302" s="193" t="n"/>
      <c r="B302" s="193" t="n"/>
      <c r="C302" s="193" t="n"/>
      <c r="D302" s="193" t="n"/>
      <c r="E302" s="193" t="n"/>
      <c r="F302" s="193" t="n"/>
      <c r="G302" s="193" t="n"/>
    </row>
    <row r="303" customFormat="1" s="194">
      <c r="A303" s="193" t="n"/>
      <c r="B303" s="193" t="n"/>
      <c r="C303" s="193" t="n"/>
      <c r="D303" s="193" t="n"/>
      <c r="E303" s="193" t="n"/>
      <c r="F303" s="193" t="n"/>
      <c r="G303" s="193" t="n"/>
      <c r="H303" s="193" t="n"/>
      <c r="I303" s="193" t="n"/>
      <c r="J303" s="193" t="n"/>
      <c r="K303" s="193" t="n"/>
      <c r="L303" s="193" t="n"/>
      <c r="M303" s="193" t="n"/>
      <c r="N303" s="193" t="n"/>
      <c r="O303" s="193" t="n"/>
      <c r="P303" s="193" t="n"/>
    </row>
    <row r="304">
      <c r="A304" s="193" t="n"/>
      <c r="B304" s="193" t="n"/>
      <c r="C304" s="193" t="n"/>
      <c r="D304" s="193" t="n"/>
      <c r="E304" s="193" t="n"/>
      <c r="F304" s="193" t="n"/>
      <c r="G304" s="193" t="n"/>
    </row>
    <row r="305" customFormat="1" s="194">
      <c r="A305" s="193" t="n"/>
      <c r="B305" s="193" t="n"/>
      <c r="C305" s="193" t="n"/>
      <c r="D305" s="193" t="n"/>
      <c r="E305" s="193" t="n"/>
      <c r="F305" s="193" t="n"/>
      <c r="G305" s="193" t="n"/>
      <c r="H305" s="193" t="n"/>
      <c r="I305" s="193" t="n"/>
      <c r="J305" s="193" t="n"/>
      <c r="K305" s="193" t="n"/>
      <c r="L305" s="193" t="n"/>
      <c r="M305" s="193" t="n"/>
      <c r="N305" s="193" t="n"/>
      <c r="O305" s="193" t="n"/>
      <c r="P305" s="193" t="n"/>
    </row>
    <row r="306">
      <c r="A306" s="193" t="n"/>
      <c r="B306" s="193" t="n"/>
      <c r="C306" s="193" t="n"/>
      <c r="D306" s="193" t="n"/>
      <c r="E306" s="193" t="n"/>
      <c r="F306" s="193" t="n"/>
      <c r="G306" s="193" t="n"/>
    </row>
    <row r="307" customFormat="1" s="194">
      <c r="A307" s="193" t="n"/>
      <c r="B307" s="193" t="n"/>
      <c r="C307" s="193" t="n"/>
      <c r="D307" s="193" t="n"/>
      <c r="E307" s="193" t="n"/>
      <c r="F307" s="193" t="n"/>
      <c r="G307" s="193" t="n"/>
      <c r="H307" s="193" t="n"/>
      <c r="I307" s="193" t="n"/>
      <c r="J307" s="193" t="n"/>
      <c r="K307" s="193" t="n"/>
      <c r="L307" s="193" t="n"/>
      <c r="M307" s="193" t="n"/>
      <c r="N307" s="193" t="n"/>
      <c r="O307" s="193" t="n"/>
      <c r="P307" s="193" t="n"/>
    </row>
    <row r="308">
      <c r="A308" s="193" t="n"/>
      <c r="B308" s="193" t="n"/>
      <c r="C308" s="193" t="n"/>
      <c r="D308" s="193" t="n"/>
      <c r="E308" s="193" t="n"/>
      <c r="F308" s="193" t="n"/>
      <c r="G308" s="193" t="n"/>
    </row>
    <row r="309" customFormat="1" s="194">
      <c r="A309" s="193" t="n"/>
      <c r="B309" s="193" t="n"/>
      <c r="C309" s="193" t="n"/>
      <c r="D309" s="193" t="n"/>
      <c r="E309" s="193" t="n"/>
      <c r="F309" s="193" t="n"/>
      <c r="G309" s="193" t="n"/>
      <c r="H309" s="193" t="n"/>
      <c r="I309" s="193" t="n"/>
      <c r="J309" s="193" t="n"/>
      <c r="K309" s="193" t="n"/>
      <c r="L309" s="193" t="n"/>
      <c r="M309" s="193" t="n"/>
      <c r="N309" s="193" t="n"/>
      <c r="O309" s="193" t="n"/>
      <c r="P309" s="193" t="n"/>
    </row>
    <row r="310" customFormat="1" s="194">
      <c r="A310" s="193" t="n"/>
      <c r="B310" s="193" t="n"/>
      <c r="C310" s="193" t="n"/>
      <c r="D310" s="193" t="n"/>
      <c r="E310" s="193" t="n"/>
      <c r="F310" s="193" t="n"/>
      <c r="G310" s="193" t="n"/>
      <c r="H310" s="193" t="n"/>
      <c r="I310" s="193" t="n"/>
      <c r="J310" s="193" t="n"/>
      <c r="K310" s="193" t="n"/>
      <c r="L310" s="193" t="n"/>
      <c r="M310" s="193" t="n"/>
      <c r="N310" s="193" t="n"/>
      <c r="O310" s="193" t="n"/>
      <c r="P310" s="193" t="n"/>
    </row>
    <row r="311">
      <c r="A311" s="193" t="n"/>
      <c r="B311" s="193" t="n"/>
      <c r="C311" s="193" t="n"/>
      <c r="D311" s="193" t="n"/>
      <c r="E311" s="193" t="n"/>
      <c r="F311" s="193" t="n"/>
      <c r="G311" s="193" t="n"/>
    </row>
    <row r="312" customFormat="1" s="194">
      <c r="A312" s="193" t="n"/>
      <c r="B312" s="193" t="n"/>
      <c r="C312" s="193" t="n"/>
      <c r="D312" s="193" t="n"/>
      <c r="E312" s="193" t="n"/>
      <c r="F312" s="193" t="n"/>
      <c r="G312" s="193" t="n"/>
      <c r="H312" s="193" t="n"/>
      <c r="I312" s="193" t="n"/>
      <c r="J312" s="193" t="n"/>
      <c r="K312" s="193" t="n"/>
      <c r="L312" s="193" t="n"/>
      <c r="M312" s="193" t="n"/>
      <c r="N312" s="193" t="n"/>
      <c r="O312" s="193" t="n"/>
      <c r="P312" s="193" t="n"/>
    </row>
    <row r="313">
      <c r="A313" s="193" t="n"/>
      <c r="B313" s="193" t="n"/>
      <c r="C313" s="193" t="n"/>
      <c r="D313" s="193" t="n"/>
      <c r="E313" s="193" t="n"/>
      <c r="F313" s="193" t="n"/>
      <c r="G313" s="193" t="n"/>
    </row>
    <row r="314" customFormat="1" s="194">
      <c r="A314" s="193" t="n"/>
      <c r="B314" s="193" t="n"/>
      <c r="C314" s="193" t="n"/>
      <c r="D314" s="193" t="n"/>
      <c r="E314" s="193" t="n"/>
      <c r="F314" s="193" t="n"/>
      <c r="G314" s="193" t="n"/>
      <c r="H314" s="193" t="n"/>
      <c r="I314" s="193" t="n"/>
      <c r="J314" s="193" t="n"/>
      <c r="K314" s="193" t="n"/>
      <c r="L314" s="193" t="n"/>
      <c r="M314" s="193" t="n"/>
      <c r="N314" s="193" t="n"/>
      <c r="O314" s="193" t="n"/>
      <c r="P314" s="193" t="n"/>
    </row>
    <row r="315">
      <c r="A315" s="193" t="n"/>
      <c r="B315" s="193" t="n"/>
      <c r="C315" s="193" t="n"/>
      <c r="D315" s="193" t="n"/>
      <c r="E315" s="193" t="n"/>
      <c r="F315" s="193" t="n"/>
      <c r="G315" s="193" t="n"/>
    </row>
    <row r="316" customFormat="1" s="194">
      <c r="A316" s="193" t="n"/>
      <c r="B316" s="193" t="n"/>
      <c r="C316" s="193" t="n"/>
      <c r="D316" s="193" t="n"/>
      <c r="E316" s="193" t="n"/>
      <c r="F316" s="193" t="n"/>
      <c r="G316" s="193" t="n"/>
      <c r="H316" s="193" t="n"/>
      <c r="I316" s="193" t="n"/>
      <c r="J316" s="193" t="n"/>
      <c r="K316" s="193" t="n"/>
      <c r="L316" s="193" t="n"/>
      <c r="M316" s="193" t="n"/>
      <c r="N316" s="193" t="n"/>
      <c r="O316" s="193" t="n"/>
      <c r="P316" s="193" t="n"/>
    </row>
    <row r="317">
      <c r="A317" s="193" t="n"/>
      <c r="B317" s="193" t="n"/>
      <c r="C317" s="193" t="n"/>
      <c r="D317" s="193" t="n"/>
      <c r="E317" s="193" t="n"/>
      <c r="F317" s="193" t="n"/>
      <c r="G317" s="193" t="n"/>
    </row>
    <row r="318" customFormat="1" s="194">
      <c r="A318" s="193" t="n"/>
      <c r="B318" s="193" t="n"/>
      <c r="C318" s="193" t="n"/>
      <c r="D318" s="193" t="n"/>
      <c r="E318" s="193" t="n"/>
      <c r="F318" s="193" t="n"/>
      <c r="G318" s="193" t="n"/>
      <c r="H318" s="193" t="n"/>
      <c r="I318" s="193" t="n"/>
      <c r="J318" s="193" t="n"/>
      <c r="K318" s="193" t="n"/>
      <c r="L318" s="193" t="n"/>
      <c r="M318" s="193" t="n"/>
      <c r="N318" s="193" t="n"/>
      <c r="O318" s="193" t="n"/>
      <c r="P318" s="193" t="n"/>
    </row>
    <row r="319">
      <c r="A319" s="193" t="n"/>
      <c r="B319" s="193" t="n"/>
      <c r="C319" s="193" t="n"/>
      <c r="D319" s="193" t="n"/>
      <c r="E319" s="193" t="n"/>
      <c r="F319" s="193" t="n"/>
      <c r="G319" s="193" t="n"/>
    </row>
    <row r="320" customFormat="1" s="194">
      <c r="A320" s="193" t="n"/>
      <c r="B320" s="193" t="n"/>
      <c r="C320" s="193" t="n"/>
      <c r="D320" s="193" t="n"/>
      <c r="E320" s="193" t="n"/>
      <c r="F320" s="193" t="n"/>
      <c r="G320" s="193" t="n"/>
      <c r="H320" s="193" t="n"/>
      <c r="I320" s="193" t="n"/>
      <c r="J320" s="193" t="n"/>
      <c r="K320" s="193" t="n"/>
      <c r="L320" s="193" t="n"/>
      <c r="M320" s="193" t="n"/>
      <c r="N320" s="193" t="n"/>
      <c r="O320" s="193" t="n"/>
      <c r="P320" s="193" t="n"/>
    </row>
    <row r="321" customFormat="1" s="194">
      <c r="A321" s="193" t="n"/>
      <c r="B321" s="193" t="n"/>
      <c r="C321" s="193" t="n"/>
      <c r="D321" s="193" t="n"/>
      <c r="E321" s="193" t="n"/>
      <c r="F321" s="193" t="n"/>
      <c r="G321" s="193" t="n"/>
      <c r="H321" s="193" t="n"/>
      <c r="I321" s="193" t="n"/>
      <c r="J321" s="193" t="n"/>
      <c r="K321" s="193" t="n"/>
      <c r="L321" s="193" t="n"/>
      <c r="M321" s="193" t="n"/>
      <c r="N321" s="193" t="n"/>
      <c r="O321" s="193" t="n"/>
      <c r="P321" s="193" t="n"/>
    </row>
    <row r="322">
      <c r="A322" s="193" t="n"/>
      <c r="B322" s="193" t="n"/>
      <c r="C322" s="193" t="n"/>
      <c r="D322" s="193" t="n"/>
      <c r="E322" s="193" t="n"/>
      <c r="F322" s="193" t="n"/>
      <c r="G322" s="193" t="n"/>
    </row>
    <row r="323" customFormat="1" s="194">
      <c r="A323" s="193" t="n"/>
      <c r="B323" s="193" t="n"/>
      <c r="C323" s="193" t="n"/>
      <c r="D323" s="193" t="n"/>
      <c r="E323" s="193" t="n"/>
      <c r="F323" s="193" t="n"/>
      <c r="G323" s="193" t="n"/>
      <c r="H323" s="193" t="n"/>
      <c r="I323" s="193" t="n"/>
      <c r="J323" s="193" t="n"/>
      <c r="K323" s="193" t="n"/>
      <c r="L323" s="193" t="n"/>
      <c r="M323" s="193" t="n"/>
      <c r="N323" s="193" t="n"/>
      <c r="O323" s="193" t="n"/>
      <c r="P323" s="193" t="n"/>
    </row>
    <row r="324">
      <c r="A324" s="193" t="n"/>
      <c r="B324" s="193" t="n"/>
      <c r="C324" s="193" t="n"/>
      <c r="D324" s="193" t="n"/>
      <c r="E324" s="193" t="n"/>
      <c r="F324" s="193" t="n"/>
      <c r="G324" s="193" t="n"/>
    </row>
    <row r="325" customFormat="1" s="194">
      <c r="A325" s="193" t="n"/>
      <c r="B325" s="193" t="n"/>
      <c r="C325" s="193" t="n"/>
      <c r="D325" s="193" t="n"/>
      <c r="E325" s="193" t="n"/>
      <c r="F325" s="193" t="n"/>
      <c r="G325" s="193" t="n"/>
      <c r="H325" s="193" t="n"/>
      <c r="I325" s="193" t="n"/>
      <c r="J325" s="193" t="n"/>
      <c r="K325" s="193" t="n"/>
      <c r="L325" s="193" t="n"/>
      <c r="M325" s="193" t="n"/>
      <c r="N325" s="193" t="n"/>
      <c r="O325" s="193" t="n"/>
      <c r="P325" s="193" t="n"/>
    </row>
    <row r="326">
      <c r="A326" s="193" t="n"/>
      <c r="B326" s="193" t="n"/>
      <c r="C326" s="193" t="n"/>
      <c r="D326" s="193" t="n"/>
      <c r="E326" s="193" t="n"/>
      <c r="F326" s="193" t="n"/>
      <c r="G326" s="193" t="n"/>
    </row>
    <row r="327" customFormat="1" s="194">
      <c r="A327" s="193" t="n"/>
      <c r="B327" s="193" t="n"/>
      <c r="C327" s="193" t="n"/>
      <c r="D327" s="193" t="n"/>
      <c r="E327" s="193" t="n"/>
      <c r="F327" s="193" t="n"/>
      <c r="G327" s="193" t="n"/>
      <c r="H327" s="193" t="n"/>
      <c r="I327" s="193" t="n"/>
      <c r="J327" s="193" t="n"/>
      <c r="K327" s="193" t="n"/>
      <c r="L327" s="193" t="n"/>
      <c r="M327" s="193" t="n"/>
      <c r="N327" s="193" t="n"/>
      <c r="O327" s="193" t="n"/>
      <c r="P327" s="193" t="n"/>
    </row>
    <row r="328">
      <c r="A328" s="193" t="n"/>
      <c r="B328" s="193" t="n"/>
      <c r="C328" s="193" t="n"/>
      <c r="D328" s="193" t="n"/>
      <c r="E328" s="193" t="n"/>
      <c r="F328" s="193" t="n"/>
      <c r="G328" s="193" t="n"/>
    </row>
    <row r="329" customFormat="1" s="194">
      <c r="A329" s="193" t="n"/>
      <c r="B329" s="193" t="n"/>
      <c r="C329" s="193" t="n"/>
      <c r="D329" s="193" t="n"/>
      <c r="E329" s="193" t="n"/>
      <c r="F329" s="193" t="n"/>
      <c r="G329" s="193" t="n"/>
      <c r="H329" s="193" t="n"/>
      <c r="I329" s="193" t="n"/>
      <c r="J329" s="193" t="n"/>
      <c r="K329" s="193" t="n"/>
      <c r="L329" s="193" t="n"/>
      <c r="M329" s="193" t="n"/>
      <c r="N329" s="193" t="n"/>
      <c r="O329" s="193" t="n"/>
      <c r="P329" s="193" t="n"/>
    </row>
    <row r="330">
      <c r="A330" s="193" t="n"/>
      <c r="B330" s="193" t="n"/>
      <c r="C330" s="193" t="n"/>
      <c r="D330" s="193" t="n"/>
      <c r="E330" s="193" t="n"/>
      <c r="F330" s="193" t="n"/>
      <c r="G330" s="193" t="n"/>
    </row>
    <row r="331" customFormat="1" s="194">
      <c r="A331" s="193" t="n"/>
      <c r="B331" s="193" t="n"/>
      <c r="C331" s="193" t="n"/>
      <c r="D331" s="193" t="n"/>
      <c r="E331" s="193" t="n"/>
      <c r="F331" s="193" t="n"/>
      <c r="G331" s="193" t="n"/>
      <c r="H331" s="193" t="n"/>
      <c r="I331" s="193" t="n"/>
      <c r="J331" s="193" t="n"/>
      <c r="K331" s="193" t="n"/>
      <c r="L331" s="193" t="n"/>
      <c r="M331" s="193" t="n"/>
      <c r="N331" s="193" t="n"/>
      <c r="O331" s="193" t="n"/>
      <c r="P331" s="193" t="n"/>
    </row>
    <row r="332" customFormat="1" s="194">
      <c r="A332" s="193" t="n"/>
      <c r="B332" s="193" t="n"/>
      <c r="C332" s="193" t="n"/>
      <c r="D332" s="193" t="n"/>
      <c r="E332" s="193" t="n"/>
      <c r="F332" s="193" t="n"/>
      <c r="G332" s="193" t="n"/>
      <c r="H332" s="193" t="n"/>
      <c r="I332" s="193" t="n"/>
      <c r="J332" s="193" t="n"/>
      <c r="K332" s="193" t="n"/>
      <c r="L332" s="193" t="n"/>
      <c r="M332" s="193" t="n"/>
      <c r="N332" s="193" t="n"/>
      <c r="O332" s="193" t="n"/>
      <c r="P332" s="193" t="n"/>
    </row>
    <row r="333">
      <c r="A333" s="193" t="n"/>
      <c r="B333" s="193" t="n"/>
      <c r="C333" s="193" t="n"/>
      <c r="D333" s="193" t="n"/>
      <c r="E333" s="193" t="n"/>
      <c r="F333" s="193" t="n"/>
      <c r="G333" s="193" t="n"/>
    </row>
    <row r="334" customFormat="1" s="194">
      <c r="A334" s="193" t="n"/>
      <c r="B334" s="193" t="n"/>
      <c r="C334" s="193" t="n"/>
      <c r="D334" s="193" t="n"/>
      <c r="E334" s="193" t="n"/>
      <c r="F334" s="193" t="n"/>
      <c r="G334" s="193" t="n"/>
      <c r="H334" s="193" t="n"/>
      <c r="I334" s="193" t="n"/>
      <c r="J334" s="193" t="n"/>
      <c r="K334" s="193" t="n"/>
      <c r="L334" s="193" t="n"/>
      <c r="M334" s="193" t="n"/>
      <c r="N334" s="193" t="n"/>
      <c r="O334" s="193" t="n"/>
      <c r="P334" s="193" t="n"/>
    </row>
    <row r="335">
      <c r="A335" s="193" t="n"/>
      <c r="B335" s="193" t="n"/>
      <c r="C335" s="193" t="n"/>
      <c r="D335" s="193" t="n"/>
      <c r="E335" s="193" t="n"/>
      <c r="F335" s="193" t="n"/>
      <c r="G335" s="193" t="n"/>
    </row>
    <row r="336" customFormat="1" s="194">
      <c r="A336" s="193" t="n"/>
      <c r="B336" s="193" t="n"/>
      <c r="C336" s="193" t="n"/>
      <c r="D336" s="193" t="n"/>
      <c r="E336" s="193" t="n"/>
      <c r="F336" s="193" t="n"/>
      <c r="G336" s="193" t="n"/>
      <c r="H336" s="193" t="n"/>
      <c r="I336" s="193" t="n"/>
      <c r="J336" s="193" t="n"/>
      <c r="K336" s="193" t="n"/>
      <c r="L336" s="193" t="n"/>
      <c r="M336" s="193" t="n"/>
      <c r="N336" s="193" t="n"/>
      <c r="O336" s="193" t="n"/>
      <c r="P336" s="193" t="n"/>
    </row>
    <row r="337" customFormat="1" s="194">
      <c r="A337" s="193" t="n"/>
      <c r="B337" s="193" t="n"/>
      <c r="C337" s="193" t="n"/>
      <c r="D337" s="193" t="n"/>
      <c r="E337" s="193" t="n"/>
      <c r="F337" s="193" t="n"/>
      <c r="G337" s="193" t="n"/>
      <c r="H337" s="193" t="n"/>
      <c r="I337" s="193" t="n"/>
      <c r="J337" s="193" t="n"/>
      <c r="K337" s="193" t="n"/>
      <c r="L337" s="193" t="n"/>
      <c r="M337" s="193" t="n"/>
      <c r="N337" s="193" t="n"/>
      <c r="O337" s="193" t="n"/>
      <c r="P337" s="193" t="n"/>
    </row>
    <row r="338" customFormat="1" s="194">
      <c r="A338" s="193" t="n"/>
      <c r="B338" s="193" t="n"/>
      <c r="C338" s="193" t="n"/>
      <c r="D338" s="193" t="n"/>
      <c r="E338" s="193" t="n"/>
      <c r="F338" s="193" t="n"/>
      <c r="G338" s="193" t="n"/>
      <c r="H338" s="193" t="n"/>
      <c r="I338" s="193" t="n"/>
      <c r="J338" s="193" t="n"/>
      <c r="K338" s="193" t="n"/>
      <c r="L338" s="193" t="n"/>
      <c r="M338" s="193" t="n"/>
      <c r="N338" s="193" t="n"/>
      <c r="O338" s="193" t="n"/>
      <c r="P338" s="193" t="n"/>
    </row>
    <row r="339" customFormat="1" s="194">
      <c r="A339" s="193" t="n"/>
      <c r="B339" s="193" t="n"/>
      <c r="C339" s="193" t="n"/>
      <c r="D339" s="193" t="n"/>
      <c r="E339" s="193" t="n"/>
      <c r="F339" s="193" t="n"/>
      <c r="G339" s="193" t="n"/>
      <c r="H339" s="193" t="n"/>
      <c r="I339" s="193" t="n"/>
      <c r="J339" s="193" t="n"/>
      <c r="K339" s="193" t="n"/>
      <c r="L339" s="193" t="n"/>
      <c r="M339" s="193" t="n"/>
      <c r="N339" s="193" t="n"/>
      <c r="O339" s="193" t="n"/>
      <c r="P339" s="193" t="n"/>
    </row>
    <row r="340" customFormat="1" s="194">
      <c r="A340" s="193" t="n"/>
      <c r="B340" s="193" t="n"/>
      <c r="C340" s="193" t="n"/>
      <c r="D340" s="193" t="n"/>
      <c r="E340" s="193" t="n"/>
      <c r="F340" s="193" t="n"/>
      <c r="G340" s="193" t="n"/>
      <c r="H340" s="193" t="n"/>
      <c r="I340" s="193" t="n"/>
      <c r="J340" s="193" t="n"/>
      <c r="K340" s="193" t="n"/>
      <c r="L340" s="193" t="n"/>
      <c r="M340" s="193" t="n"/>
      <c r="N340" s="193" t="n"/>
      <c r="O340" s="193" t="n"/>
      <c r="P340" s="193" t="n"/>
    </row>
    <row r="341" customFormat="1" s="194">
      <c r="A341" s="193" t="n"/>
      <c r="B341" s="193" t="n"/>
      <c r="C341" s="193" t="n"/>
      <c r="D341" s="193" t="n"/>
      <c r="E341" s="193" t="n"/>
      <c r="F341" s="193" t="n"/>
      <c r="G341" s="193" t="n"/>
      <c r="H341" s="193" t="n"/>
      <c r="I341" s="193" t="n"/>
      <c r="J341" s="193" t="n"/>
      <c r="K341" s="193" t="n"/>
      <c r="L341" s="193" t="n"/>
      <c r="M341" s="193" t="n"/>
      <c r="N341" s="193" t="n"/>
      <c r="O341" s="193" t="n"/>
      <c r="P341" s="193" t="n"/>
    </row>
    <row r="342" customFormat="1" s="194"/>
    <row r="343" customFormat="1" s="194"/>
    <row r="344" customFormat="1" s="194"/>
  </sheetData>
  <mergeCells count="12">
    <mergeCell ref="A4:K4"/>
    <mergeCell ref="A3:K3"/>
    <mergeCell ref="N15:O15"/>
    <mergeCell ref="A16:E16"/>
    <mergeCell ref="J14:K14"/>
    <mergeCell ref="J15:K15"/>
    <mergeCell ref="A2:K2"/>
    <mergeCell ref="A1:K1"/>
    <mergeCell ref="H16:K16"/>
    <mergeCell ref="L16:O16"/>
    <mergeCell ref="A5:K5"/>
    <mergeCell ref="N14:O14"/>
  </mergeCells>
  <conditionalFormatting sqref="H18:H23 J18:J23 L18:L23 N18:N23">
    <cfRule type="cellIs" priority="1" operator="equal" dxfId="5">
      <formula>$B$8</formula>
    </cfRule>
    <cfRule type="cellIs" priority="2" operator="equal" dxfId="4">
      <formula>$C$8</formula>
    </cfRule>
    <cfRule type="cellIs" priority="3" operator="equal" dxfId="3">
      <formula>$D$8</formula>
    </cfRule>
    <cfRule type="cellIs" priority="4" operator="equal" dxfId="2">
      <formula>$E$8</formula>
    </cfRule>
    <cfRule type="cellIs" priority="5" operator="equal" dxfId="1">
      <formula>$F$8</formula>
    </cfRule>
    <cfRule type="cellIs" priority="6" operator="equal" dxfId="0">
      <formula>$G$8</formula>
    </cfRule>
  </conditionalFormatting>
  <dataValidations count="3">
    <dataValidation sqref="N19:N23" showDropDown="0" showInputMessage="1" showErrorMessage="1" allowBlank="1" errorTitle="Which Type?" error="Done_x000a_Undone_x000a_N/A_x000a_Inprogress" type="list">
      <formula1>$B$8:$E$8</formula1>
    </dataValidation>
    <dataValidation sqref="H18:H23 J18:J23 L18:L23" showDropDown="0" showInputMessage="1" showErrorMessage="1" allowBlank="1" type="list">
      <formula1>$B$8:$G$8</formula1>
    </dataValidation>
    <dataValidation sqref="N18" showDropDown="0" showInputMessage="1" showErrorMessage="1" allowBlank="1" errorTitle="Which One" error="Done_x000a_Undone_x000a_N/A_x000a_Inprogress" type="list">
      <formula1>$B$8:$E$8</formula1>
    </dataValidation>
  </dataValidation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outlinePr summaryBelow="1" summaryRight="1"/>
    <pageSetUpPr/>
  </sheetPr>
  <dimension ref="A1:D14"/>
  <sheetViews>
    <sheetView zoomScaleNormal="100" workbookViewId="0">
      <selection activeCell="A8" sqref="A8"/>
    </sheetView>
  </sheetViews>
  <sheetFormatPr baseColWidth="8" defaultRowHeight="15"/>
  <cols>
    <col width="180.7109375" customWidth="1" min="1" max="1"/>
    <col width="22.140625" bestFit="1" customWidth="1" min="2" max="2"/>
    <col width="20.85546875" bestFit="1" customWidth="1" min="3" max="3"/>
    <col width="20.7109375" bestFit="1" customWidth="1" min="4" max="4"/>
    <col width="30.42578125" customWidth="1" min="5" max="5"/>
  </cols>
  <sheetData>
    <row r="1">
      <c r="A1" s="156" t="inlineStr">
        <is>
          <t>Remediations</t>
        </is>
      </c>
      <c r="B1" s="148" t="inlineStr">
        <is>
          <t>Security Comment</t>
        </is>
      </c>
      <c r="C1" s="148" t="inlineStr">
        <is>
          <t>Owner Comment</t>
        </is>
      </c>
      <c r="D1" s="149" t="inlineStr">
        <is>
          <t>Security Reviews</t>
        </is>
      </c>
    </row>
    <row r="2">
      <c r="A2" s="156" t="inlineStr">
        <is>
          <t>RHEL 8 : python3.11 (RHSA-2024:10979): Update the RHEL python3.11 package based on the guidance in RHSA-2024:10979.</t>
        </is>
      </c>
      <c r="B2" s="150" t="n"/>
      <c r="C2" s="151" t="n"/>
      <c r="D2" s="151" t="n"/>
    </row>
    <row r="3">
      <c r="A3" s="156" t="inlineStr">
        <is>
          <t>RHEL 8 / 9 : java-1.8.0-openjdk (RHSA-2024:8117): Update the RHEL java-1.8.0-openjdk package based on the guidance in RHSA-2024:8117.</t>
        </is>
      </c>
      <c r="B3" s="121" t="n"/>
      <c r="C3" s="93" t="n"/>
      <c r="D3" s="93" t="n"/>
    </row>
    <row r="4" ht="30" customHeight="1">
      <c r="A4" s="156" t="inlineStr">
        <is>
          <t>OpenJDK 8 &lt;= 8u432 / 11.0.0 &lt;= 11.0.25 / 17.0.0 &lt;= 17.0.13 / 21.0.0 &lt;= 21.0.5 / 23.0.0 &lt;= 23.0.1 Vulnerability (2025-01-21): Upgrade to an OpenJDK version greater than 8u432 / 11.0.25 / 17.0.13 / 21.0.5 / 23.0.1</t>
        </is>
      </c>
      <c r="B4" s="150" t="n"/>
      <c r="C4" s="151" t="n"/>
      <c r="D4" s="151" t="n"/>
    </row>
    <row r="5">
      <c r="A5" s="156" t="inlineStr">
        <is>
          <t>RHEL 8 : expat (RHSA-2024:9502): Update the RHEL expat package based on the guidance in RHSA-2024:9502.</t>
        </is>
      </c>
      <c r="B5" s="121" t="n"/>
      <c r="C5" s="93" t="n"/>
      <c r="D5" s="93" t="n"/>
    </row>
    <row r="6">
      <c r="A6" s="156" t="inlineStr">
        <is>
          <t>RHEL 8 : virt:rhel and virt-devel:rhel (RHSA-2024:6964): Update the RHEL virt:rhel / virt-devel:rhel packages based on the guidance in RHSA-2024:6964.</t>
        </is>
      </c>
      <c r="B6" s="150" t="n"/>
      <c r="C6" s="151" t="n"/>
      <c r="D6" s="151" t="n"/>
    </row>
    <row r="7">
      <c r="A7" s="156" t="inlineStr">
        <is>
          <t>RHEL 8 : python3 (RHSA-2024:6975): Update the RHEL python3 package based on the guidance in RHSA-2024:6975.</t>
        </is>
      </c>
      <c r="B7" s="152" t="n"/>
      <c r="C7" s="93" t="n"/>
      <c r="D7" s="93" t="n"/>
    </row>
    <row r="8">
      <c r="A8" s="156" t="inlineStr">
        <is>
          <t>RHEL 8 : linux-firmware (RHSA-2024:7481): Update the RHEL linux-firmware package based on the guidance in RHSA-2024:7481.</t>
        </is>
      </c>
      <c r="B8" s="153" t="n"/>
      <c r="C8" s="151" t="n"/>
      <c r="D8" s="151" t="n"/>
    </row>
    <row r="9">
      <c r="A9" s="156" t="inlineStr">
        <is>
          <t>RHEL 8 : libsoup (RHSA-2025:0838): Update the RHEL libsoup package based on the guidance in RHSA-2025:0838.</t>
        </is>
      </c>
      <c r="B9" s="121" t="n"/>
      <c r="C9" s="93" t="n"/>
      <c r="D9" s="93" t="n"/>
    </row>
    <row r="10">
      <c r="A10" s="156" t="inlineStr">
        <is>
          <t>RHEL 8 : emacs (RHSA-2024:6987): Update the RHEL emacs package based on the guidance in RHSA-2024:6987.</t>
        </is>
      </c>
      <c r="B10" s="150" t="n"/>
      <c r="C10" s="151" t="n"/>
      <c r="D10" s="151" t="n"/>
    </row>
    <row r="11">
      <c r="A11" s="156" t="inlineStr">
        <is>
          <t>RHEL 8 : unbound (RHSA-2025:0837): Update the RHEL unbound package based on the guidance in RHSA-2025:0837.</t>
        </is>
      </c>
      <c r="B11" s="121" t="n"/>
      <c r="C11" s="93" t="n"/>
      <c r="D11" s="93" t="n"/>
    </row>
    <row r="12">
      <c r="A12" s="156" t="inlineStr">
        <is>
          <t>RHEL 8 : pam (RHSA-2024:10379): Update the RHEL pam package based on the guidance in RHSA-2024:10379.</t>
        </is>
      </c>
      <c r="B12" s="150" t="n"/>
      <c r="C12" s="151" t="n"/>
      <c r="D12" s="151" t="n"/>
    </row>
    <row r="13">
      <c r="A13" s="156" t="inlineStr">
        <is>
          <t>RHEL 8 : bind (RHSA-2024:5524): Update the RHEL bind package based on the guidance in RHSA-2024:5524.</t>
        </is>
      </c>
      <c r="B13" s="121" t="n"/>
      <c r="C13" s="93" t="n"/>
      <c r="D13" s="93" t="n"/>
    </row>
    <row r="14">
      <c r="A14" s="125" t="inlineStr">
        <is>
          <t>RHEL 8 : rsync (RHSA-2025:0325): Update the RHEL rsync package based on the guidance in RHSA-2025:0325.</t>
        </is>
      </c>
      <c r="B14" s="154" t="n"/>
      <c r="C14" s="155" t="n"/>
      <c r="D14" s="155"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30"/>
  <sheetViews>
    <sheetView workbookViewId="0">
      <pane ySplit="1" topLeftCell="A19" activePane="bottomLeft" state="frozen"/>
      <selection pane="bottomLeft" activeCell="A31" sqref="A31:XFD36"/>
    </sheetView>
  </sheetViews>
  <sheetFormatPr baseColWidth="8" defaultColWidth="8.7109375" defaultRowHeight="15"/>
  <cols>
    <col width="59.5703125" bestFit="1" customWidth="1" style="83" min="1" max="1"/>
    <col width="82.5703125" bestFit="1" customWidth="1" style="84" min="2" max="2"/>
    <col width="82.7109375" bestFit="1" customWidth="1" style="84" min="3" max="4"/>
    <col width="8.7109375" customWidth="1" style="84" min="5" max="16384"/>
  </cols>
  <sheetData>
    <row r="1" customFormat="1" s="83">
      <c r="A1" s="82" t="inlineStr">
        <is>
          <t>Package</t>
        </is>
      </c>
      <c r="B1" s="82" t="inlineStr">
        <is>
          <t>Security comment</t>
        </is>
      </c>
      <c r="C1" s="82" t="inlineStr">
        <is>
          <t>Owner Comment</t>
        </is>
      </c>
      <c r="D1" s="82" t="inlineStr">
        <is>
          <t>Security Reviews</t>
        </is>
      </c>
    </row>
    <row r="2">
      <c r="A2" s="2" t="inlineStr">
        <is>
          <t>acpid|1:2.0.31-1|amd64</t>
        </is>
      </c>
      <c r="B2" s="2" t="n"/>
      <c r="C2" s="2" t="n"/>
      <c r="D2" s="2" t="n"/>
    </row>
    <row r="3">
      <c r="A3" s="2" t="inlineStr">
        <is>
          <t>adduser|3.118|all</t>
        </is>
      </c>
      <c r="B3" s="2" t="n"/>
      <c r="C3" s="2" t="n"/>
      <c r="D3" s="2" t="n"/>
    </row>
    <row r="4">
      <c r="A4" s="2" t="inlineStr">
        <is>
          <t>apt|1.8.2.3|amd64</t>
        </is>
      </c>
      <c r="B4" s="2" t="n"/>
      <c r="C4" s="2" t="n"/>
      <c r="D4" s="2" t="n"/>
    </row>
    <row r="5">
      <c r="A5" s="2" t="inlineStr">
        <is>
          <t>apt-utils|1.8.2.3|amd64</t>
        </is>
      </c>
      <c r="B5" s="2" t="n"/>
      <c r="C5" s="2" t="n"/>
      <c r="D5" s="2" t="n"/>
    </row>
    <row r="6" ht="60" customHeight="1">
      <c r="A6" s="85" t="inlineStr">
        <is>
          <t>gdb|8.2.1-2+b3|amd64</t>
        </is>
      </c>
      <c r="B6" s="85" t="inlineStr">
        <is>
          <t>gdb is installed on the production appliance. It is a debugging tool and may expose process memory or application internals to an authorized privileged user. Confirm that it is required for vendor troubleshooting; otherwise consider removing it from the production image.</t>
        </is>
      </c>
      <c r="C6" s="2" t="n"/>
      <c r="D6" s="2" t="n"/>
    </row>
    <row r="7">
      <c r="A7" s="2" t="inlineStr">
        <is>
          <t>grub2-common|2.06-3~deb10u4|amd64</t>
        </is>
      </c>
      <c r="B7" s="2" t="n"/>
      <c r="C7" s="2" t="n"/>
      <c r="D7" s="2" t="n"/>
    </row>
    <row r="8">
      <c r="A8" s="2" t="inlineStr">
        <is>
          <t>gzip|1.9-3+deb10u1|amd64</t>
        </is>
      </c>
      <c r="B8" s="2" t="n"/>
      <c r="C8" s="2" t="n"/>
      <c r="D8" s="2" t="n"/>
    </row>
    <row r="9">
      <c r="A9" s="2" t="inlineStr">
        <is>
          <t>hddtemp|0.3-beta15-53|amd64</t>
        </is>
      </c>
      <c r="B9" s="2" t="n"/>
      <c r="C9" s="2" t="n"/>
      <c r="D9" s="2" t="n"/>
    </row>
    <row r="10">
      <c r="A10" s="2" t="inlineStr">
        <is>
          <t>hostname|3.21|amd64</t>
        </is>
      </c>
      <c r="B10" s="2" t="n"/>
      <c r="C10" s="2" t="n"/>
      <c r="D10" s="2" t="n"/>
    </row>
    <row r="11" ht="60" customHeight="1">
      <c r="A11" s="86" t="inlineStr">
        <is>
          <t>hping3|3.a2.ds2-7|amd64</t>
        </is>
      </c>
      <c r="B11" s="86" t="inlineStr">
        <is>
          <t>hping3 is installed on the appliance. This tool can generate crafted network traffic and is commonly used for network testing and troubleshooting. Confirm that it is required for vendor support or operational diagnostics; otherwise consider removing it from the production image.</t>
        </is>
      </c>
      <c r="C11" s="2" t="n"/>
      <c r="D11" s="2" t="n"/>
    </row>
    <row r="12">
      <c r="A12" s="2" t="inlineStr">
        <is>
          <t>htop|2.2.0-1+b1|amd64</t>
        </is>
      </c>
      <c r="B12" s="2" t="n"/>
      <c r="C12" s="2" t="n"/>
      <c r="D12" s="2" t="n"/>
    </row>
    <row r="13">
      <c r="A13" s="2" t="inlineStr">
        <is>
          <t>startpar|0.61-1|amd64</t>
        </is>
      </c>
      <c r="B13" s="2" t="n"/>
      <c r="C13" s="2" t="n"/>
      <c r="D13" s="2" t="n"/>
    </row>
    <row r="14" ht="45" customHeight="1">
      <c r="A14" s="85" t="inlineStr">
        <is>
          <t>strace|4.26-0.2|amd64</t>
        </is>
      </c>
      <c r="B14" s="85" t="inlineStr">
        <is>
          <t>strace is installed. It is useful for troubleshooting but can expose process arguments, file access and runtime activity to privileged users. Confirm the operational requirement for retaining it on the production appliance.</t>
        </is>
      </c>
      <c r="C14" s="2" t="n"/>
      <c r="D14" s="2" t="n"/>
    </row>
    <row r="15">
      <c r="A15" s="2" t="inlineStr">
        <is>
          <t>sudo|1.8.27-1+deb10u6|amd64</t>
        </is>
      </c>
      <c r="B15" s="2" t="n"/>
      <c r="C15" s="2" t="n"/>
      <c r="D15" s="2" t="n"/>
    </row>
    <row r="16">
      <c r="A16" s="2" t="inlineStr">
        <is>
          <t>sysstat|12.0.3-2+deb10u2|amd64</t>
        </is>
      </c>
      <c r="B16" s="2" t="n"/>
      <c r="C16" s="2" t="n"/>
      <c r="D16" s="2" t="n"/>
    </row>
    <row r="17">
      <c r="A17" s="2" t="inlineStr">
        <is>
          <t>sysv-rc|2.93-8|all</t>
        </is>
      </c>
      <c r="B17" s="2" t="n"/>
      <c r="C17" s="2" t="n"/>
      <c r="D17" s="2" t="n"/>
    </row>
    <row r="18">
      <c r="A18" s="2" t="inlineStr">
        <is>
          <t>sysvinit-core|2.93-8|amd64</t>
        </is>
      </c>
      <c r="B18" s="2" t="n"/>
      <c r="C18" s="2" t="n"/>
      <c r="D18" s="2" t="n"/>
    </row>
    <row r="19">
      <c r="A19" s="2" t="inlineStr">
        <is>
          <t>sysvinit-utils|2.93-8|amd64</t>
        </is>
      </c>
      <c r="B19" s="2" t="n"/>
      <c r="C19" s="2" t="n"/>
      <c r="D19" s="2" t="n"/>
    </row>
    <row r="20">
      <c r="A20" s="2" t="inlineStr">
        <is>
          <t>tacacs|0.0.3|amd64</t>
        </is>
      </c>
      <c r="B20" s="2" t="n"/>
      <c r="C20" s="2" t="n"/>
      <c r="D20" s="2" t="n"/>
    </row>
    <row r="21">
      <c r="A21" s="2" t="inlineStr">
        <is>
          <t>tar|1.30+dfsg-6+deb10u1|amd64</t>
        </is>
      </c>
      <c r="B21" s="2" t="n"/>
      <c r="C21" s="2" t="n"/>
      <c r="D21" s="2" t="n"/>
    </row>
    <row r="22" ht="60" customHeight="1">
      <c r="A22" s="85" t="inlineStr">
        <is>
          <t>tcpdump|4.9.3-1~deb10u2|amd64</t>
        </is>
      </c>
      <c r="B22" s="85" t="inlineStr">
        <is>
          <t>tcpdump is installed. Packet capture is useful for network troubleshooting but can expose network traffic and protocol data to privileged users. Confirm that the package is required for operational diagnostics and that its use is restricted to authorized administrators.</t>
        </is>
      </c>
      <c r="C22" s="2" t="n"/>
      <c r="D22" s="2" t="n"/>
    </row>
    <row r="23" ht="30" customHeight="1">
      <c r="A23" s="87" t="inlineStr">
        <is>
          <t>telnet|0.17-41.2|amd64</t>
        </is>
      </c>
      <c r="B23" s="87" t="inlineStr">
        <is>
          <t>The Telnet client is installed. If Telnet is not required for operational support or legacy interoperability, remove the package to reduce use of cleartext remote-access protocols.</t>
        </is>
      </c>
      <c r="C23" s="2" t="n"/>
      <c r="D23" s="2" t="n"/>
    </row>
    <row r="24" ht="45" customHeight="1">
      <c r="A24" s="88" t="inlineStr">
        <is>
          <t>telnetd|0.17-41.2|amd64</t>
        </is>
      </c>
      <c r="B24" s="88" t="inlineStr">
        <is>
          <t>telnetd is installed and TCP/23 is listening on the appliance. Telnet provides unencrypted remote access and exposes credentials and session data in cleartext. Confirm that the service is operationally required; otherwise disable and remove it in favor of SSH.</t>
        </is>
      </c>
      <c r="C24" s="2" t="n"/>
      <c r="D24" s="2" t="n"/>
    </row>
    <row r="25">
      <c r="A25" s="2" t="inlineStr">
        <is>
          <t>tmux|2.8-3+deb10u1|amd64</t>
        </is>
      </c>
      <c r="B25" s="2" t="n"/>
      <c r="C25" s="2" t="n"/>
      <c r="D25" s="2" t="n"/>
    </row>
    <row r="26">
      <c r="A26" s="2" t="inlineStr">
        <is>
          <t>vim-tiny|2:8.1.0875-5+deb10u6|amd64</t>
        </is>
      </c>
      <c r="B26" s="2" t="n"/>
      <c r="C26" s="2" t="n"/>
      <c r="D26" s="2" t="n"/>
    </row>
    <row r="27">
      <c r="A27" s="2" t="inlineStr">
        <is>
          <t>watchdog|5.15-2|amd64</t>
        </is>
      </c>
      <c r="B27" s="2" t="n"/>
      <c r="C27" s="2" t="n"/>
      <c r="D27" s="2" t="n"/>
    </row>
    <row r="28">
      <c r="A28" s="2" t="inlineStr">
        <is>
          <t>wget|1.20.1-1.1|amd64</t>
        </is>
      </c>
      <c r="B28" s="2" t="n"/>
      <c r="C28" s="2" t="n"/>
      <c r="D28" s="2" t="n"/>
    </row>
    <row r="29" ht="30" customHeight="1">
      <c r="A29" s="86" t="inlineStr">
        <is>
          <t>xinetd|1:2.3.15.3-1|amd64</t>
        </is>
      </c>
      <c r="B29" s="86" t="inlineStr">
        <is>
          <t>xinetd is installed. Confirm whether it is required to manage any active legacy network service, including Telnet. If no xinetd-managed service is required, remove or disable it.</t>
        </is>
      </c>
      <c r="C29" s="2" t="n"/>
      <c r="D29" s="2" t="n"/>
    </row>
    <row r="30">
      <c r="A30" s="2" t="inlineStr">
        <is>
          <t>xxd|2:8.1.0875-5+deb10u6|amd64</t>
        </is>
      </c>
      <c r="B30" s="2" t="n"/>
      <c r="C30" s="2" t="n"/>
      <c r="D30" s="2" t="n"/>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
  <sheetViews>
    <sheetView topLeftCell="F1" zoomScaleNormal="100" workbookViewId="0">
      <selection activeCell="K10" sqref="K10"/>
    </sheetView>
  </sheetViews>
  <sheetFormatPr baseColWidth="8" defaultColWidth="9.140625" defaultRowHeight="15"/>
  <cols>
    <col width="9.140625" customWidth="1" style="1" min="1" max="1"/>
    <col width="23.140625" bestFit="1" customWidth="1" style="1" min="2" max="2"/>
    <col width="9.5703125" customWidth="1" style="1" min="3" max="3"/>
    <col width="11" customWidth="1" style="1" min="4" max="4"/>
    <col width="34.42578125" bestFit="1" customWidth="1" style="1" min="5" max="5"/>
    <col width="23.140625" bestFit="1" customWidth="1" style="1" min="6" max="6"/>
    <col width="17" customWidth="1" style="1" min="7" max="7"/>
    <col width="19.5703125" bestFit="1" customWidth="1" style="194" min="8" max="8"/>
    <col width="20" bestFit="1" customWidth="1" style="194" min="9" max="9"/>
    <col width="75.5703125" customWidth="1" style="194" min="10" max="10"/>
    <col width="26.7109375" bestFit="1" customWidth="1" style="194" min="11" max="11"/>
    <col width="27.7109375" bestFit="1" customWidth="1" style="194" min="12" max="12"/>
    <col width="9.140625" customWidth="1" style="1" min="13" max="16384"/>
  </cols>
  <sheetData>
    <row r="1" customFormat="1" s="3">
      <c r="A1" s="118" t="inlineStr">
        <is>
          <t>Host</t>
        </is>
      </c>
      <c r="B1" s="112" t="inlineStr">
        <is>
          <t>Username</t>
        </is>
      </c>
      <c r="C1" s="112" t="inlineStr">
        <is>
          <t>User ID</t>
        </is>
      </c>
      <c r="D1" s="112" t="inlineStr">
        <is>
          <t>Group ID</t>
        </is>
      </c>
      <c r="E1" s="112" t="inlineStr">
        <is>
          <t>Realname</t>
        </is>
      </c>
      <c r="F1" s="112" t="inlineStr">
        <is>
          <t>Shell path</t>
        </is>
      </c>
      <c r="G1" s="112" t="inlineStr">
        <is>
          <t>Home Directory</t>
        </is>
      </c>
      <c r="H1" s="139" t="inlineStr">
        <is>
          <t>Whitelist 1</t>
        </is>
      </c>
      <c r="I1" s="139" t="inlineStr">
        <is>
          <t>Whitelist 2</t>
        </is>
      </c>
      <c r="J1" s="139" t="inlineStr">
        <is>
          <t>Security Comment</t>
        </is>
      </c>
      <c r="K1" s="139" t="inlineStr">
        <is>
          <t>Owner Comment</t>
        </is>
      </c>
      <c r="L1" s="140" t="inlineStr">
        <is>
          <t>Security Reviews</t>
        </is>
      </c>
    </row>
    <row r="2">
      <c r="A2" s="120" t="n"/>
      <c r="B2" s="97" t="inlineStr">
        <is>
          <t>root</t>
        </is>
      </c>
      <c r="C2" s="141" t="n">
        <v>0</v>
      </c>
      <c r="D2" s="141" t="n">
        <v>0</v>
      </c>
      <c r="E2" s="97" t="inlineStr">
        <is>
          <t>root</t>
        </is>
      </c>
      <c r="F2" s="97" t="inlineStr">
        <is>
          <t>/root</t>
        </is>
      </c>
      <c r="G2" s="97" t="inlineStr">
        <is>
          <t>/bin/bash</t>
        </is>
      </c>
      <c r="H2" s="142" t="n"/>
      <c r="I2" s="93" t="n"/>
      <c r="J2" s="121" t="n"/>
      <c r="K2" s="93" t="n"/>
      <c r="L2" s="93" t="n"/>
    </row>
    <row r="3">
      <c r="A3" s="120" t="n"/>
      <c r="B3" s="97" t="inlineStr">
        <is>
          <t>bin</t>
        </is>
      </c>
      <c r="C3" s="141" t="n">
        <v>1</v>
      </c>
      <c r="D3" s="141" t="n">
        <v>1</v>
      </c>
      <c r="E3" s="97" t="inlineStr">
        <is>
          <t>bin</t>
        </is>
      </c>
      <c r="F3" s="97" t="inlineStr">
        <is>
          <t>/bin</t>
        </is>
      </c>
      <c r="G3" s="97" t="inlineStr">
        <is>
          <t>/sbin/nologin</t>
        </is>
      </c>
      <c r="H3" s="142" t="n"/>
      <c r="I3" s="93" t="n"/>
      <c r="J3" s="121" t="n"/>
      <c r="K3" s="93" t="n"/>
      <c r="L3" s="93" t="n"/>
    </row>
    <row r="4">
      <c r="A4" s="120" t="n"/>
      <c r="B4" s="97" t="inlineStr">
        <is>
          <t>daemon</t>
        </is>
      </c>
      <c r="C4" s="141" t="n">
        <v>2</v>
      </c>
      <c r="D4" s="141" t="n">
        <v>2</v>
      </c>
      <c r="E4" s="97" t="inlineStr">
        <is>
          <t>daemon</t>
        </is>
      </c>
      <c r="F4" s="97" t="inlineStr">
        <is>
          <t>/sbin</t>
        </is>
      </c>
      <c r="G4" s="97" t="inlineStr">
        <is>
          <t>/sbin/nologin</t>
        </is>
      </c>
      <c r="H4" s="142" t="n"/>
      <c r="I4" s="93" t="n"/>
      <c r="J4" s="121" t="n"/>
      <c r="K4" s="93" t="n"/>
      <c r="L4" s="93" t="n"/>
    </row>
    <row r="5">
      <c r="A5" s="120" t="n"/>
      <c r="B5" s="97" t="inlineStr">
        <is>
          <t>adm</t>
        </is>
      </c>
      <c r="C5" s="141" t="n">
        <v>3</v>
      </c>
      <c r="D5" s="141" t="n">
        <v>4</v>
      </c>
      <c r="E5" s="97" t="inlineStr">
        <is>
          <t>adm</t>
        </is>
      </c>
      <c r="F5" s="97" t="inlineStr">
        <is>
          <t>/var/adm</t>
        </is>
      </c>
      <c r="G5" s="97" t="inlineStr">
        <is>
          <t>/sbin/nologin</t>
        </is>
      </c>
      <c r="H5" s="142" t="n"/>
      <c r="I5" s="93" t="n"/>
      <c r="J5" s="121" t="n"/>
      <c r="K5" s="93" t="n"/>
      <c r="L5" s="93" t="n"/>
    </row>
    <row r="6">
      <c r="A6" s="120" t="n"/>
      <c r="B6" s="97" t="inlineStr">
        <is>
          <t>lp</t>
        </is>
      </c>
      <c r="C6" s="141" t="n">
        <v>4</v>
      </c>
      <c r="D6" s="141" t="n">
        <v>7</v>
      </c>
      <c r="E6" s="97" t="inlineStr">
        <is>
          <t>lp</t>
        </is>
      </c>
      <c r="F6" s="97" t="inlineStr">
        <is>
          <t>/var/spool/lpd</t>
        </is>
      </c>
      <c r="G6" s="97" t="inlineStr">
        <is>
          <t>/sbin/nologin</t>
        </is>
      </c>
      <c r="H6" s="142" t="n"/>
      <c r="I6" s="93" t="n"/>
      <c r="J6" s="121" t="n"/>
      <c r="K6" s="93" t="n"/>
      <c r="L6" s="93" t="n"/>
    </row>
    <row r="7">
      <c r="A7" s="120" t="n"/>
      <c r="B7" s="97" t="inlineStr">
        <is>
          <t>sync</t>
        </is>
      </c>
      <c r="C7" s="141" t="n">
        <v>5</v>
      </c>
      <c r="D7" s="141" t="n">
        <v>0</v>
      </c>
      <c r="E7" s="97" t="inlineStr">
        <is>
          <t>sync</t>
        </is>
      </c>
      <c r="F7" s="97" t="inlineStr">
        <is>
          <t>/sbin</t>
        </is>
      </c>
      <c r="G7" s="97" t="inlineStr">
        <is>
          <t>/bin/sync</t>
        </is>
      </c>
      <c r="H7" s="142" t="n"/>
      <c r="I7" s="93" t="n"/>
      <c r="J7" s="143" t="n"/>
      <c r="K7" s="93" t="n"/>
      <c r="L7" s="93" t="n"/>
    </row>
    <row r="8">
      <c r="A8" s="120" t="n"/>
      <c r="B8" s="97" t="inlineStr">
        <is>
          <t>shutdown</t>
        </is>
      </c>
      <c r="C8" s="141" t="n">
        <v>6</v>
      </c>
      <c r="D8" s="141" t="n">
        <v>0</v>
      </c>
      <c r="E8" s="97" t="inlineStr">
        <is>
          <t>shutdown</t>
        </is>
      </c>
      <c r="F8" s="97" t="inlineStr">
        <is>
          <t>/sbin</t>
        </is>
      </c>
      <c r="G8" s="97" t="inlineStr">
        <is>
          <t>/sbin/shutdown</t>
        </is>
      </c>
      <c r="H8" s="142" t="n"/>
      <c r="I8" s="93" t="n"/>
      <c r="J8" s="144" t="n"/>
      <c r="K8" s="93" t="n"/>
      <c r="L8" s="93" t="n"/>
    </row>
    <row r="9">
      <c r="A9" s="120" t="n"/>
      <c r="B9" s="97" t="inlineStr">
        <is>
          <t>halt</t>
        </is>
      </c>
      <c r="C9" s="141" t="n">
        <v>7</v>
      </c>
      <c r="D9" s="141" t="n">
        <v>0</v>
      </c>
      <c r="E9" s="97" t="inlineStr">
        <is>
          <t>halt</t>
        </is>
      </c>
      <c r="F9" s="97" t="inlineStr">
        <is>
          <t>/sbin</t>
        </is>
      </c>
      <c r="G9" s="97" t="inlineStr">
        <is>
          <t>/sbin/halt</t>
        </is>
      </c>
      <c r="H9" s="142" t="n"/>
      <c r="I9" s="93" t="n"/>
      <c r="J9" s="121" t="n"/>
      <c r="K9" s="93" t="n"/>
      <c r="L9" s="93" t="n"/>
    </row>
    <row r="10">
      <c r="A10" s="120" t="n"/>
      <c r="B10" s="97" t="inlineStr">
        <is>
          <t>mail</t>
        </is>
      </c>
      <c r="C10" s="141" t="n">
        <v>8</v>
      </c>
      <c r="D10" s="141" t="n">
        <v>12</v>
      </c>
      <c r="E10" s="97" t="inlineStr">
        <is>
          <t>mail</t>
        </is>
      </c>
      <c r="F10" s="97" t="inlineStr">
        <is>
          <t>/var/spool/mail</t>
        </is>
      </c>
      <c r="G10" s="97" t="inlineStr">
        <is>
          <t>/sbin/nologin</t>
        </is>
      </c>
      <c r="H10" s="142" t="n"/>
      <c r="I10" s="93" t="n"/>
      <c r="J10" s="121" t="n"/>
      <c r="K10" s="93" t="n"/>
      <c r="L10" s="93" t="n"/>
    </row>
    <row r="11">
      <c r="A11" s="120" t="n"/>
      <c r="B11" s="97" t="inlineStr">
        <is>
          <t>operator</t>
        </is>
      </c>
      <c r="C11" s="141" t="n">
        <v>11</v>
      </c>
      <c r="D11" s="141" t="n">
        <v>0</v>
      </c>
      <c r="E11" s="97" t="inlineStr">
        <is>
          <t>operator</t>
        </is>
      </c>
      <c r="F11" s="97" t="inlineStr">
        <is>
          <t>/root</t>
        </is>
      </c>
      <c r="G11" s="97" t="inlineStr">
        <is>
          <t>/sbin/nologin</t>
        </is>
      </c>
      <c r="H11" s="142" t="n"/>
      <c r="I11" s="93" t="n"/>
      <c r="J11" s="121" t="n"/>
      <c r="K11" s="93" t="n"/>
      <c r="L11" s="93" t="n"/>
    </row>
    <row r="12">
      <c r="A12" s="120" t="n"/>
      <c r="B12" s="97" t="inlineStr">
        <is>
          <t>games</t>
        </is>
      </c>
      <c r="C12" s="141" t="n">
        <v>12</v>
      </c>
      <c r="D12" s="141" t="n">
        <v>100</v>
      </c>
      <c r="E12" s="97" t="inlineStr">
        <is>
          <t>games</t>
        </is>
      </c>
      <c r="F12" s="97" t="inlineStr">
        <is>
          <t>/usr/games</t>
        </is>
      </c>
      <c r="G12" s="97" t="inlineStr">
        <is>
          <t>/sbin/nologin</t>
        </is>
      </c>
      <c r="H12" s="142" t="n"/>
      <c r="I12" s="93" t="n"/>
      <c r="J12" s="121" t="n"/>
      <c r="K12" s="93" t="n"/>
      <c r="L12" s="93" t="n"/>
    </row>
    <row r="13">
      <c r="A13" s="120" t="n"/>
      <c r="B13" s="97" t="inlineStr">
        <is>
          <t>ftp</t>
        </is>
      </c>
      <c r="C13" s="141" t="n">
        <v>14</v>
      </c>
      <c r="D13" s="141" t="n">
        <v>50</v>
      </c>
      <c r="E13" s="97" t="inlineStr">
        <is>
          <t>FTP User</t>
        </is>
      </c>
      <c r="F13" s="97" t="inlineStr">
        <is>
          <t>/var/ftp</t>
        </is>
      </c>
      <c r="G13" s="97" t="inlineStr">
        <is>
          <t>/sbin/nologin</t>
        </is>
      </c>
      <c r="H13" s="142" t="n"/>
      <c r="I13" s="93" t="n"/>
      <c r="J13" s="121" t="n"/>
      <c r="K13" s="93" t="n"/>
      <c r="L13" s="93" t="n"/>
    </row>
    <row r="14">
      <c r="A14" s="120" t="n"/>
      <c r="B14" s="97" t="inlineStr">
        <is>
          <t>nobody</t>
        </is>
      </c>
      <c r="C14" s="141" t="n">
        <v>65534</v>
      </c>
      <c r="D14" s="141" t="n">
        <v>65534</v>
      </c>
      <c r="E14" s="97" t="inlineStr">
        <is>
          <t>Kernel Overflow User</t>
        </is>
      </c>
      <c r="F14" s="97" t="inlineStr">
        <is>
          <t>/</t>
        </is>
      </c>
      <c r="G14" s="97" t="inlineStr">
        <is>
          <t>/sbin/nologin</t>
        </is>
      </c>
      <c r="H14" s="142" t="n"/>
      <c r="I14" s="93" t="n"/>
      <c r="J14" s="121" t="n"/>
      <c r="K14" s="93" t="n"/>
      <c r="L14" s="93" t="n"/>
    </row>
    <row r="15">
      <c r="A15" s="120" t="n"/>
      <c r="B15" s="97" t="inlineStr">
        <is>
          <t>dbus</t>
        </is>
      </c>
      <c r="C15" s="141" t="n">
        <v>81</v>
      </c>
      <c r="D15" s="141" t="n">
        <v>81</v>
      </c>
      <c r="E15" s="97" t="inlineStr">
        <is>
          <t>System message bus</t>
        </is>
      </c>
      <c r="F15" s="97" t="inlineStr">
        <is>
          <t>/</t>
        </is>
      </c>
      <c r="G15" s="97" t="inlineStr">
        <is>
          <t>/sbin/nologin</t>
        </is>
      </c>
      <c r="H15" s="142" t="n"/>
      <c r="I15" s="93" t="n"/>
      <c r="J15" s="121" t="n"/>
      <c r="K15" s="93" t="n"/>
      <c r="L15" s="93" t="n"/>
    </row>
    <row r="16">
      <c r="A16" s="120" t="n"/>
      <c r="B16" s="97" t="inlineStr">
        <is>
          <t>systemd-coredump</t>
        </is>
      </c>
      <c r="C16" s="141" t="n">
        <v>999</v>
      </c>
      <c r="D16" s="141" t="n">
        <v>997</v>
      </c>
      <c r="E16" s="97" t="inlineStr">
        <is>
          <t>systemd Core Dumper</t>
        </is>
      </c>
      <c r="F16" s="97" t="inlineStr">
        <is>
          <t>/</t>
        </is>
      </c>
      <c r="G16" s="97" t="inlineStr">
        <is>
          <t>/sbin/nologin</t>
        </is>
      </c>
      <c r="H16" s="142" t="n"/>
      <c r="I16" s="93" t="n"/>
      <c r="J16" s="121" t="n"/>
      <c r="K16" s="93" t="n"/>
      <c r="L16" s="93" t="n"/>
    </row>
    <row r="17">
      <c r="A17" s="120" t="n"/>
      <c r="B17" s="97" t="inlineStr">
        <is>
          <t>systemd-resolve</t>
        </is>
      </c>
      <c r="C17" s="141" t="n">
        <v>193</v>
      </c>
      <c r="D17" s="141" t="n">
        <v>193</v>
      </c>
      <c r="E17" s="97" t="inlineStr">
        <is>
          <t>systemd Resolver</t>
        </is>
      </c>
      <c r="F17" s="97" t="inlineStr">
        <is>
          <t>/</t>
        </is>
      </c>
      <c r="G17" s="97" t="inlineStr">
        <is>
          <t>/sbin/nologin</t>
        </is>
      </c>
      <c r="H17" s="142" t="n"/>
      <c r="I17" s="93" t="n"/>
      <c r="J17" s="121" t="n"/>
      <c r="K17" s="93" t="n"/>
      <c r="L17" s="93" t="n"/>
    </row>
    <row r="18">
      <c r="A18" s="120" t="n"/>
      <c r="B18" s="97" t="inlineStr">
        <is>
          <t>tss</t>
        </is>
      </c>
      <c r="C18" s="141" t="n">
        <v>59</v>
      </c>
      <c r="D18" s="141" t="n">
        <v>59</v>
      </c>
      <c r="E18" s="97" t="inlineStr">
        <is>
          <t>Account used for TPM access</t>
        </is>
      </c>
      <c r="F18" s="97" t="inlineStr">
        <is>
          <t>/dev/null</t>
        </is>
      </c>
      <c r="G18" s="97" t="inlineStr">
        <is>
          <t>/sbin/nologin</t>
        </is>
      </c>
      <c r="H18" s="142" t="n"/>
      <c r="I18" s="93" t="n"/>
      <c r="J18" s="121" t="n"/>
      <c r="K18" s="93" t="n"/>
      <c r="L18" s="93" t="n"/>
    </row>
    <row r="19">
      <c r="A19" s="120" t="n"/>
      <c r="B19" s="97" t="inlineStr">
        <is>
          <t>polkitd</t>
        </is>
      </c>
      <c r="C19" s="141" t="n">
        <v>998</v>
      </c>
      <c r="D19" s="141" t="n">
        <v>996</v>
      </c>
      <c r="E19" s="97" t="inlineStr">
        <is>
          <t>User for polkitd</t>
        </is>
      </c>
      <c r="F19" s="97" t="inlineStr">
        <is>
          <t>/</t>
        </is>
      </c>
      <c r="G19" s="97" t="inlineStr">
        <is>
          <t>/sbin/nologin</t>
        </is>
      </c>
      <c r="H19" s="142" t="n"/>
      <c r="I19" s="93" t="n"/>
      <c r="J19" s="121" t="n"/>
      <c r="K19" s="93" t="n"/>
      <c r="L19" s="93" t="n"/>
    </row>
    <row r="20">
      <c r="A20" s="120" t="n"/>
      <c r="B20" s="97" t="inlineStr">
        <is>
          <t>unbound</t>
        </is>
      </c>
      <c r="C20" s="141" t="n">
        <v>997</v>
      </c>
      <c r="D20" s="141" t="n">
        <v>994</v>
      </c>
      <c r="E20" s="97" t="inlineStr">
        <is>
          <t>Unbound DNS resolver</t>
        </is>
      </c>
      <c r="F20" s="97" t="inlineStr">
        <is>
          <t>/etc/unbound</t>
        </is>
      </c>
      <c r="G20" s="97" t="inlineStr">
        <is>
          <t>/sbin/nologin</t>
        </is>
      </c>
      <c r="H20" s="142" t="n"/>
      <c r="I20" s="93" t="n"/>
      <c r="J20" s="121" t="n"/>
      <c r="K20" s="93" t="n"/>
      <c r="L20" s="93" t="n"/>
    </row>
    <row r="21">
      <c r="A21" s="120" t="n"/>
      <c r="B21" s="97" t="inlineStr">
        <is>
          <t>libstoragemgmt</t>
        </is>
      </c>
      <c r="C21" s="141" t="n">
        <v>996</v>
      </c>
      <c r="D21" s="141" t="n">
        <v>992</v>
      </c>
      <c r="E21" s="97" t="inlineStr">
        <is>
          <t>daemon account for libstoragemgmt</t>
        </is>
      </c>
      <c r="F21" s="97" t="inlineStr">
        <is>
          <t>/var/run/lsm</t>
        </is>
      </c>
      <c r="G21" s="97" t="inlineStr">
        <is>
          <t>/sbin/nologin</t>
        </is>
      </c>
      <c r="H21" s="142" t="n"/>
      <c r="I21" s="93" t="n"/>
      <c r="J21" s="121" t="n"/>
      <c r="K21" s="93" t="n"/>
      <c r="L21" s="93" t="n"/>
    </row>
    <row r="22">
      <c r="A22" s="120" t="n"/>
      <c r="B22" s="97" t="inlineStr">
        <is>
          <t>setroubleshoot</t>
        </is>
      </c>
      <c r="C22" s="141" t="n">
        <v>995</v>
      </c>
      <c r="D22" s="141" t="n">
        <v>991</v>
      </c>
      <c r="E22" s="97" t="n"/>
      <c r="F22" s="97" t="inlineStr">
        <is>
          <t>/var/lib/setroubleshoot</t>
        </is>
      </c>
      <c r="G22" s="97" t="inlineStr">
        <is>
          <t>/sbin/nologin</t>
        </is>
      </c>
      <c r="H22" s="142" t="n"/>
      <c r="I22" s="93" t="n"/>
      <c r="J22" s="121" t="n"/>
      <c r="K22" s="93" t="n"/>
      <c r="L22" s="93" t="n"/>
    </row>
    <row r="23">
      <c r="A23" s="120" t="n"/>
      <c r="B23" s="97" t="inlineStr">
        <is>
          <t>cockpit-ws</t>
        </is>
      </c>
      <c r="C23" s="141" t="n">
        <v>994</v>
      </c>
      <c r="D23" s="141" t="n">
        <v>990</v>
      </c>
      <c r="E23" s="97" t="inlineStr">
        <is>
          <t>User for cockpit web service</t>
        </is>
      </c>
      <c r="F23" s="97" t="inlineStr">
        <is>
          <t>/nonexisting</t>
        </is>
      </c>
      <c r="G23" s="97" t="inlineStr">
        <is>
          <t>/sbin/nologin</t>
        </is>
      </c>
      <c r="H23" s="142" t="n"/>
      <c r="I23" s="93" t="n"/>
      <c r="J23" s="121" t="n"/>
      <c r="K23" s="93" t="n"/>
      <c r="L23" s="93" t="n"/>
    </row>
    <row r="24">
      <c r="A24" s="120" t="n"/>
      <c r="B24" s="97" t="inlineStr">
        <is>
          <t>cockpit-wsinstance</t>
        </is>
      </c>
      <c r="C24" s="141" t="n">
        <v>993</v>
      </c>
      <c r="D24" s="141" t="n">
        <v>989</v>
      </c>
      <c r="E24" s="97" t="inlineStr">
        <is>
          <t>User for cockpit-ws instances</t>
        </is>
      </c>
      <c r="F24" s="97" t="inlineStr">
        <is>
          <t>/nonexisting</t>
        </is>
      </c>
      <c r="G24" s="97" t="inlineStr">
        <is>
          <t>/sbin/nologin</t>
        </is>
      </c>
      <c r="H24" s="142" t="n"/>
      <c r="I24" s="93" t="n"/>
      <c r="J24" s="121" t="n"/>
      <c r="K24" s="93" t="n"/>
      <c r="L24" s="93" t="n"/>
    </row>
    <row r="25">
      <c r="A25" s="120" t="n"/>
      <c r="B25" s="97" t="inlineStr">
        <is>
          <t>sssd</t>
        </is>
      </c>
      <c r="C25" s="141" t="n">
        <v>992</v>
      </c>
      <c r="D25" s="141" t="n">
        <v>988</v>
      </c>
      <c r="E25" s="97" t="inlineStr">
        <is>
          <t>User for sssd</t>
        </is>
      </c>
      <c r="F25" s="97" t="inlineStr">
        <is>
          <t>/</t>
        </is>
      </c>
      <c r="G25" s="97" t="inlineStr">
        <is>
          <t>/sbin/nologin</t>
        </is>
      </c>
      <c r="H25" s="142" t="n"/>
      <c r="I25" s="93" t="n"/>
      <c r="J25" s="121" t="n"/>
      <c r="K25" s="93" t="n"/>
      <c r="L25" s="93" t="n"/>
    </row>
    <row r="26">
      <c r="A26" s="131" t="n"/>
      <c r="B26" s="132" t="inlineStr">
        <is>
          <t>pesign</t>
        </is>
      </c>
      <c r="C26" s="145" t="n">
        <v>991</v>
      </c>
      <c r="D26" s="145" t="n">
        <v>987</v>
      </c>
      <c r="E26" s="132" t="inlineStr">
        <is>
          <t>Group for the pesign signing daemon</t>
        </is>
      </c>
      <c r="F26" s="132" t="inlineStr">
        <is>
          <t>/run/pesign</t>
        </is>
      </c>
      <c r="G26" s="132" t="inlineStr">
        <is>
          <t>/sbin/nologin</t>
        </is>
      </c>
      <c r="H26" s="146" t="n"/>
      <c r="I26" s="95" t="n"/>
      <c r="J26" s="147" t="n"/>
      <c r="K26" s="95" t="n"/>
      <c r="L26" s="95" t="n"/>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0"/>
  <sheetViews>
    <sheetView topLeftCell="A7" zoomScaleNormal="100" workbookViewId="0">
      <selection activeCell="R14" sqref="R14"/>
    </sheetView>
  </sheetViews>
  <sheetFormatPr baseColWidth="8" defaultColWidth="9.140625" defaultRowHeight="15"/>
  <cols>
    <col width="18.42578125" bestFit="1" customWidth="1" style="1" min="1" max="1"/>
    <col width="7.42578125" bestFit="1" customWidth="1" style="1" min="2" max="2"/>
    <col width="8.85546875" bestFit="1" customWidth="1" style="1" min="3" max="3"/>
    <col width="25.7109375" bestFit="1" customWidth="1" style="1" min="4" max="4"/>
    <col width="14" bestFit="1" customWidth="1" style="1" min="5" max="5"/>
    <col width="25.7109375" bestFit="1" customWidth="1" style="1" min="6" max="6"/>
    <col width="9.140625" customWidth="1" style="1" min="7" max="16384"/>
  </cols>
  <sheetData>
    <row r="1">
      <c r="A1" s="20" t="inlineStr">
        <is>
          <t>Username</t>
        </is>
      </c>
      <c r="B1" s="20" t="inlineStr">
        <is>
          <t>User ID</t>
        </is>
      </c>
      <c r="C1" s="20" t="inlineStr">
        <is>
          <t>Group ID</t>
        </is>
      </c>
      <c r="D1" s="20" t="inlineStr">
        <is>
          <t>Realname</t>
        </is>
      </c>
      <c r="E1" s="20" t="inlineStr">
        <is>
          <t>Shell path</t>
        </is>
      </c>
      <c r="F1" s="20" t="inlineStr">
        <is>
          <t>Home Directory</t>
        </is>
      </c>
    </row>
    <row r="2">
      <c r="A2" s="15" t="inlineStr">
        <is>
          <t>root</t>
        </is>
      </c>
      <c r="B2" s="15" t="n">
        <v>0</v>
      </c>
      <c r="C2" s="15" t="n">
        <v>0</v>
      </c>
      <c r="D2" s="15" t="inlineStr">
        <is>
          <t>root</t>
        </is>
      </c>
      <c r="E2" s="15" t="inlineStr">
        <is>
          <t>/bin/bash</t>
        </is>
      </c>
      <c r="F2" s="15" t="inlineStr">
        <is>
          <t>/root</t>
        </is>
      </c>
    </row>
    <row r="3">
      <c r="A3" s="1" t="inlineStr">
        <is>
          <t>bin</t>
        </is>
      </c>
      <c r="B3" s="1" t="n">
        <v>1</v>
      </c>
      <c r="C3" s="1" t="n">
        <v>1</v>
      </c>
      <c r="D3" s="1" t="inlineStr">
        <is>
          <t>bin</t>
        </is>
      </c>
      <c r="E3" s="1" t="inlineStr">
        <is>
          <t>/sbin/nologin</t>
        </is>
      </c>
      <c r="F3" s="1" t="inlineStr">
        <is>
          <t>/bin</t>
        </is>
      </c>
    </row>
    <row r="4">
      <c r="A4" s="1" t="inlineStr">
        <is>
          <t>daemon</t>
        </is>
      </c>
      <c r="B4" s="1" t="n">
        <v>2</v>
      </c>
      <c r="C4" s="1" t="n">
        <v>2</v>
      </c>
      <c r="D4" s="1" t="inlineStr">
        <is>
          <t>daemon</t>
        </is>
      </c>
      <c r="E4" s="1" t="inlineStr">
        <is>
          <t>/sbin/nologin</t>
        </is>
      </c>
      <c r="F4" s="1" t="inlineStr">
        <is>
          <t>/sbin</t>
        </is>
      </c>
    </row>
    <row r="5">
      <c r="A5" s="1" t="inlineStr">
        <is>
          <t>adm</t>
        </is>
      </c>
      <c r="B5" s="1" t="n">
        <v>3</v>
      </c>
      <c r="C5" s="1" t="n">
        <v>4</v>
      </c>
      <c r="D5" s="1" t="inlineStr">
        <is>
          <t>adm</t>
        </is>
      </c>
      <c r="E5" s="1" t="inlineStr">
        <is>
          <t>/sbin/nologin</t>
        </is>
      </c>
      <c r="F5" s="1" t="inlineStr">
        <is>
          <t>/var/adm</t>
        </is>
      </c>
    </row>
    <row r="6">
      <c r="A6" s="1" t="inlineStr">
        <is>
          <t>lp</t>
        </is>
      </c>
      <c r="B6" s="1" t="n">
        <v>4</v>
      </c>
      <c r="C6" s="1" t="n">
        <v>7</v>
      </c>
      <c r="D6" s="1" t="inlineStr">
        <is>
          <t>lp</t>
        </is>
      </c>
      <c r="E6" s="1" t="inlineStr">
        <is>
          <t>/sbin/nologin</t>
        </is>
      </c>
      <c r="F6" s="1" t="inlineStr">
        <is>
          <t>/var/spool/lpd</t>
        </is>
      </c>
    </row>
    <row r="7">
      <c r="A7" s="1" t="inlineStr">
        <is>
          <t>sync</t>
        </is>
      </c>
      <c r="B7" s="1" t="n">
        <v>5</v>
      </c>
      <c r="C7" s="1" t="n">
        <v>0</v>
      </c>
      <c r="D7" s="1" t="inlineStr">
        <is>
          <t>sync</t>
        </is>
      </c>
      <c r="E7" s="1" t="inlineStr">
        <is>
          <t>/bin/sync</t>
        </is>
      </c>
      <c r="F7" s="1" t="inlineStr">
        <is>
          <t>/sbin</t>
        </is>
      </c>
    </row>
    <row r="8">
      <c r="A8" s="1" t="inlineStr">
        <is>
          <t>shutdown</t>
        </is>
      </c>
      <c r="B8" s="1" t="n">
        <v>6</v>
      </c>
      <c r="C8" s="1" t="n">
        <v>0</v>
      </c>
      <c r="D8" s="1" t="inlineStr">
        <is>
          <t>shutdown</t>
        </is>
      </c>
      <c r="E8" s="1" t="inlineStr">
        <is>
          <t>/sbin/shutdown</t>
        </is>
      </c>
      <c r="F8" s="1" t="inlineStr">
        <is>
          <t>/sbin</t>
        </is>
      </c>
    </row>
    <row r="9">
      <c r="A9" s="1" t="inlineStr">
        <is>
          <t>halt</t>
        </is>
      </c>
      <c r="B9" s="1" t="n">
        <v>7</v>
      </c>
      <c r="C9" s="1" t="n">
        <v>0</v>
      </c>
      <c r="D9" s="1" t="inlineStr">
        <is>
          <t>halt</t>
        </is>
      </c>
      <c r="E9" s="1" t="inlineStr">
        <is>
          <t>/sbin/halt</t>
        </is>
      </c>
      <c r="F9" s="1" t="inlineStr">
        <is>
          <t>/sbin</t>
        </is>
      </c>
    </row>
    <row r="10">
      <c r="A10" s="1" t="inlineStr">
        <is>
          <t>mail</t>
        </is>
      </c>
      <c r="B10" s="1" t="n">
        <v>8</v>
      </c>
      <c r="C10" s="1" t="n">
        <v>12</v>
      </c>
      <c r="D10" s="1" t="inlineStr">
        <is>
          <t>mail</t>
        </is>
      </c>
      <c r="E10" s="1" t="inlineStr">
        <is>
          <t>/sbin/nologin</t>
        </is>
      </c>
      <c r="F10" s="1" t="inlineStr">
        <is>
          <t>/var/spool/mail</t>
        </is>
      </c>
    </row>
    <row r="11">
      <c r="A11" s="1" t="inlineStr">
        <is>
          <t>operator</t>
        </is>
      </c>
      <c r="B11" s="1" t="n">
        <v>11</v>
      </c>
      <c r="C11" s="1" t="n">
        <v>0</v>
      </c>
      <c r="D11" s="1" t="inlineStr">
        <is>
          <t>operator</t>
        </is>
      </c>
      <c r="E11" s="1" t="inlineStr">
        <is>
          <t>/sbin/nologin</t>
        </is>
      </c>
      <c r="F11" s="1" t="inlineStr">
        <is>
          <t>/root</t>
        </is>
      </c>
    </row>
    <row r="12">
      <c r="A12" s="1" t="inlineStr">
        <is>
          <t>nobody</t>
        </is>
      </c>
      <c r="B12" s="1" t="n">
        <v>65534</v>
      </c>
      <c r="C12" s="1" t="n">
        <v>65534</v>
      </c>
      <c r="D12" s="1" t="inlineStr">
        <is>
          <t>Kernel Overflow User</t>
        </is>
      </c>
      <c r="E12" s="1" t="inlineStr">
        <is>
          <t>/sbin/nologin</t>
        </is>
      </c>
      <c r="F12" s="1" t="inlineStr">
        <is>
          <t>/</t>
        </is>
      </c>
    </row>
    <row r="13">
      <c r="A13" s="1" t="inlineStr">
        <is>
          <t>dbus</t>
        </is>
      </c>
      <c r="B13" s="1" t="n">
        <v>81</v>
      </c>
      <c r="C13" s="1" t="n">
        <v>81</v>
      </c>
      <c r="D13" s="1" t="inlineStr">
        <is>
          <t>System message bus</t>
        </is>
      </c>
      <c r="E13" s="1" t="inlineStr">
        <is>
          <t>/sbin/nologin</t>
        </is>
      </c>
      <c r="F13" s="1" t="inlineStr">
        <is>
          <t>/</t>
        </is>
      </c>
    </row>
    <row r="14">
      <c r="A14" s="1" t="inlineStr">
        <is>
          <t>systemd-coredump</t>
        </is>
      </c>
      <c r="B14" s="1" t="n">
        <v>999</v>
      </c>
      <c r="C14" s="1" t="n">
        <v>997</v>
      </c>
      <c r="D14" s="1" t="inlineStr">
        <is>
          <t>systemd Core Dumper</t>
        </is>
      </c>
      <c r="E14" s="1" t="inlineStr">
        <is>
          <t>/sbin/nologin</t>
        </is>
      </c>
      <c r="F14" s="1" t="inlineStr">
        <is>
          <t>/</t>
        </is>
      </c>
    </row>
    <row r="15">
      <c r="A15" s="1" t="inlineStr">
        <is>
          <t>systemd-resolve</t>
        </is>
      </c>
      <c r="B15" s="1" t="n">
        <v>193</v>
      </c>
      <c r="C15" s="1" t="n">
        <v>193</v>
      </c>
      <c r="D15" s="1" t="inlineStr">
        <is>
          <t>systemd Resolver</t>
        </is>
      </c>
      <c r="E15" s="1" t="inlineStr">
        <is>
          <t>/sbin/nologin</t>
        </is>
      </c>
      <c r="F15" s="1" t="inlineStr">
        <is>
          <t>/</t>
        </is>
      </c>
    </row>
    <row r="16">
      <c r="A16" s="1" t="inlineStr">
        <is>
          <t>tss</t>
        </is>
      </c>
      <c r="B16" s="1" t="n">
        <v>59</v>
      </c>
      <c r="C16" s="1" t="n">
        <v>59</v>
      </c>
      <c r="D16" s="1" t="inlineStr">
        <is>
          <t>Account used for TPM access</t>
        </is>
      </c>
      <c r="E16" s="1" t="inlineStr">
        <is>
          <t>/sbin/nologin</t>
        </is>
      </c>
      <c r="F16" s="1" t="inlineStr">
        <is>
          <t>/dev/null</t>
        </is>
      </c>
    </row>
    <row r="17">
      <c r="A17" s="1" t="inlineStr">
        <is>
          <t>polkitd</t>
        </is>
      </c>
      <c r="B17" s="1" t="n">
        <v>998</v>
      </c>
      <c r="C17" s="1" t="n">
        <v>996</v>
      </c>
      <c r="D17" s="1" t="inlineStr">
        <is>
          <t>User for polkitd</t>
        </is>
      </c>
      <c r="E17" s="1" t="inlineStr">
        <is>
          <t>/sbin/nologin</t>
        </is>
      </c>
      <c r="F17" s="1" t="inlineStr">
        <is>
          <t>/</t>
        </is>
      </c>
    </row>
    <row r="18">
      <c r="A18" s="1" t="inlineStr">
        <is>
          <t>unbound</t>
        </is>
      </c>
      <c r="B18" s="1" t="n">
        <v>997</v>
      </c>
      <c r="C18" s="1" t="n">
        <v>994</v>
      </c>
      <c r="D18" s="1" t="inlineStr">
        <is>
          <t>Unbound DNS resolver</t>
        </is>
      </c>
      <c r="E18" s="1" t="inlineStr">
        <is>
          <t>/sbin/nologin</t>
        </is>
      </c>
      <c r="F18" s="1" t="inlineStr">
        <is>
          <t>/etc/unbound</t>
        </is>
      </c>
    </row>
    <row r="19">
      <c r="A19" s="1" t="inlineStr">
        <is>
          <t>sssd</t>
        </is>
      </c>
      <c r="B19" s="1" t="n">
        <v>996</v>
      </c>
      <c r="C19" s="1" t="n">
        <v>993</v>
      </c>
      <c r="D19" s="1" t="inlineStr">
        <is>
          <t>User for sssd</t>
        </is>
      </c>
      <c r="E19" s="1" t="inlineStr">
        <is>
          <t>/sbin/nologin</t>
        </is>
      </c>
      <c r="F19" s="1" t="inlineStr">
        <is>
          <t>/</t>
        </is>
      </c>
    </row>
    <row r="20">
      <c r="A20" s="1" t="inlineStr">
        <is>
          <t>sshd</t>
        </is>
      </c>
      <c r="B20" s="1" t="n">
        <v>74</v>
      </c>
      <c r="C20" s="1" t="n">
        <v>74</v>
      </c>
      <c r="D20" s="1" t="inlineStr">
        <is>
          <t>Privilege-separated SSH</t>
        </is>
      </c>
      <c r="E20" s="1" t="inlineStr">
        <is>
          <t>/sbin/nologin</t>
        </is>
      </c>
      <c r="F20" s="1" t="inlineStr">
        <is>
          <t>/var/empty/sshd</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3"/>
  <sheetViews>
    <sheetView zoomScaleNormal="100" workbookViewId="0">
      <selection activeCell="R14" sqref="R14"/>
    </sheetView>
  </sheetViews>
  <sheetFormatPr baseColWidth="8" defaultColWidth="9.140625" defaultRowHeight="15"/>
  <cols>
    <col width="11.28515625" bestFit="1" customWidth="1" style="1" min="1" max="1"/>
    <col width="10.28515625" bestFit="1" customWidth="1" style="1" min="2" max="2"/>
    <col width="9.140625" customWidth="1" style="1" min="3" max="3"/>
    <col width="8.42578125" bestFit="1" customWidth="1" style="1" min="4" max="4"/>
    <col width="27.28515625" bestFit="1" customWidth="1" style="1" min="5" max="5"/>
    <col width="16" bestFit="1" customWidth="1" style="1" min="6" max="6"/>
    <col width="15" bestFit="1" customWidth="1" style="1" min="7" max="7"/>
    <col width="9.140625" customWidth="1" style="1" min="8" max="16384"/>
  </cols>
  <sheetData>
    <row r="1" customFormat="1" s="3">
      <c r="A1" s="20" t="inlineStr">
        <is>
          <t>Category</t>
        </is>
      </c>
      <c r="B1" s="20" t="inlineStr">
        <is>
          <t>Username</t>
        </is>
      </c>
      <c r="C1" s="20" t="inlineStr">
        <is>
          <t>User ID</t>
        </is>
      </c>
      <c r="D1" s="20" t="inlineStr">
        <is>
          <t>Group ID</t>
        </is>
      </c>
      <c r="E1" s="20" t="inlineStr">
        <is>
          <t>Realname</t>
        </is>
      </c>
      <c r="F1" s="20" t="inlineStr">
        <is>
          <t>Shell path</t>
        </is>
      </c>
      <c r="G1" s="20" t="inlineStr">
        <is>
          <t>Home Directory</t>
        </is>
      </c>
    </row>
    <row r="2">
      <c r="A2" s="15" t="inlineStr">
        <is>
          <t>zabbix</t>
        </is>
      </c>
      <c r="B2" s="15" t="inlineStr">
        <is>
          <t>www-data</t>
        </is>
      </c>
      <c r="C2" s="15" t="n">
        <v>33</v>
      </c>
      <c r="D2" s="15" t="n">
        <v>33</v>
      </c>
      <c r="E2" s="15" t="inlineStr">
        <is>
          <t>Zabbix Monitoring System</t>
        </is>
      </c>
      <c r="F2" s="15" t="inlineStr">
        <is>
          <t>/sbin/nologin</t>
        </is>
      </c>
      <c r="G2" s="15" t="inlineStr">
        <is>
          <t>/var/lib/zabbix</t>
        </is>
      </c>
    </row>
    <row r="3">
      <c r="A3" s="15" t="inlineStr">
        <is>
          <t>pmp</t>
        </is>
      </c>
      <c r="B3" s="15" t="inlineStr">
        <is>
          <t>docker</t>
        </is>
      </c>
      <c r="C3" s="15" t="n">
        <v>500001</v>
      </c>
      <c r="D3" s="15" t="n">
        <v>500001</v>
      </c>
      <c r="E3" s="15" t="inlineStr">
        <is>
          <t>It is Password Manager Pro user</t>
        </is>
      </c>
      <c r="F3" s="15" t="inlineStr">
        <is>
          <t>/bin/bash</t>
        </is>
      </c>
      <c r="G3" s="15" t="inlineStr">
        <is>
          <t>/home/pmp</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7"/>
  <sheetViews>
    <sheetView zoomScaleNormal="100" workbookViewId="0">
      <selection activeCell="F14" sqref="F14"/>
    </sheetView>
  </sheetViews>
  <sheetFormatPr baseColWidth="8" defaultColWidth="9.140625" defaultRowHeight="15"/>
  <cols>
    <col width="24.7109375" customWidth="1" style="1" min="1" max="7"/>
    <col width="9.140625" customWidth="1" style="1" min="8" max="16384"/>
  </cols>
  <sheetData>
    <row r="1" customFormat="1" s="3">
      <c r="A1" s="118" t="inlineStr">
        <is>
          <t>Host</t>
        </is>
      </c>
      <c r="B1" s="112" t="inlineStr">
        <is>
          <t>Destination</t>
        </is>
      </c>
      <c r="C1" s="112" t="inlineStr">
        <is>
          <t>Gateway</t>
        </is>
      </c>
      <c r="D1" s="112" t="inlineStr">
        <is>
          <t>Interface</t>
        </is>
      </c>
      <c r="E1" s="112" t="inlineStr">
        <is>
          <t>Security Comment</t>
        </is>
      </c>
      <c r="F1" s="112" t="inlineStr">
        <is>
          <t>Owner Comment</t>
        </is>
      </c>
      <c r="G1" s="135" t="inlineStr">
        <is>
          <t>Security Reviews</t>
        </is>
      </c>
    </row>
    <row r="2">
      <c r="A2" s="120" t="n"/>
      <c r="B2" s="96" t="inlineStr">
        <is>
          <t>default</t>
        </is>
      </c>
      <c r="C2" s="96" t="n"/>
      <c r="D2" s="96" t="inlineStr">
        <is>
          <t>ens192</t>
        </is>
      </c>
      <c r="E2" s="96" t="n"/>
      <c r="F2" s="96" t="n"/>
      <c r="G2" s="136" t="n"/>
    </row>
    <row r="3">
      <c r="A3" s="120" t="n"/>
      <c r="B3" s="96" t="n"/>
      <c r="C3" s="96" t="inlineStr">
        <is>
          <t>ens192</t>
        </is>
      </c>
      <c r="D3" s="96" t="inlineStr">
        <is>
          <t>ens192</t>
        </is>
      </c>
      <c r="E3" s="96" t="n"/>
      <c r="F3" s="96" t="n"/>
      <c r="G3" s="136" t="n"/>
    </row>
    <row r="4">
      <c r="A4" s="120" t="n"/>
      <c r="B4" s="96" t="inlineStr">
        <is>
          <t>default</t>
        </is>
      </c>
      <c r="C4" s="96" t="n"/>
      <c r="D4" s="96" t="inlineStr">
        <is>
          <t>ens192</t>
        </is>
      </c>
      <c r="E4" s="96" t="n"/>
      <c r="F4" s="96" t="n"/>
      <c r="G4" s="136" t="n"/>
    </row>
    <row r="5">
      <c r="A5" s="120" t="n"/>
      <c r="B5" s="96" t="n"/>
      <c r="C5" s="96" t="inlineStr">
        <is>
          <t>ens192</t>
        </is>
      </c>
      <c r="D5" s="96" t="inlineStr">
        <is>
          <t>ens192</t>
        </is>
      </c>
      <c r="E5" s="96" t="n"/>
      <c r="F5" s="96" t="n"/>
      <c r="G5" s="136" t="n"/>
    </row>
    <row r="6">
      <c r="A6" s="120" t="n"/>
      <c r="B6" s="96" t="inlineStr">
        <is>
          <t>default</t>
        </is>
      </c>
      <c r="C6" s="96" t="n"/>
      <c r="D6" s="96" t="inlineStr">
        <is>
          <t>ens192</t>
        </is>
      </c>
      <c r="E6" s="96" t="n"/>
      <c r="F6" s="96" t="n"/>
      <c r="G6" s="136" t="n"/>
    </row>
    <row r="7">
      <c r="A7" s="131" t="n"/>
      <c r="B7" s="137" t="n"/>
      <c r="C7" s="137" t="inlineStr">
        <is>
          <t>ens192</t>
        </is>
      </c>
      <c r="D7" s="137" t="inlineStr">
        <is>
          <t>ens192</t>
        </is>
      </c>
      <c r="E7" s="137" t="n"/>
      <c r="F7" s="137" t="n"/>
      <c r="G7" s="138" t="n"/>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G10"/>
  <sheetViews>
    <sheetView zoomScaleNormal="100" workbookViewId="0">
      <selection activeCell="G17" sqref="G17"/>
    </sheetView>
  </sheetViews>
  <sheetFormatPr baseColWidth="8" defaultColWidth="9.140625" defaultRowHeight="15"/>
  <cols>
    <col width="25" customWidth="1" style="1" min="1" max="1"/>
    <col width="16.85546875" bestFit="1" customWidth="1" style="1" min="2" max="2"/>
    <col width="8.85546875" bestFit="1" customWidth="1" style="1" min="3" max="3"/>
    <col width="19.42578125" bestFit="1" customWidth="1" style="1" min="4" max="4"/>
    <col width="48" bestFit="1" customWidth="1" style="194" min="5" max="5"/>
    <col width="20.85546875" bestFit="1" customWidth="1" style="194" min="6" max="6"/>
    <col width="20.7109375" bestFit="1" customWidth="1" style="194" min="7" max="7"/>
    <col width="9.140625" customWidth="1" style="1" min="8" max="16384"/>
  </cols>
  <sheetData>
    <row r="1" customFormat="1" s="3">
      <c r="A1" s="118" t="inlineStr">
        <is>
          <t>Host</t>
        </is>
      </c>
      <c r="B1" s="112" t="inlineStr">
        <is>
          <t>Group Name</t>
        </is>
      </c>
      <c r="C1" s="112" t="inlineStr">
        <is>
          <t>GID</t>
        </is>
      </c>
      <c r="D1" s="112" t="inlineStr">
        <is>
          <t>Group Member</t>
        </is>
      </c>
      <c r="E1" s="113" t="inlineStr">
        <is>
          <t>Security Comment</t>
        </is>
      </c>
      <c r="F1" s="113" t="inlineStr">
        <is>
          <t>Owner Comment</t>
        </is>
      </c>
      <c r="G1" s="114" t="inlineStr">
        <is>
          <t>Security Reviews</t>
        </is>
      </c>
    </row>
    <row r="2" ht="90" customHeight="1">
      <c r="A2" s="120" t="n"/>
      <c r="B2" s="97" t="n"/>
      <c r="C2" s="97" t="n"/>
      <c r="D2" s="97" t="n"/>
      <c r="E2" s="98" t="inlineStr">
        <is>
          <t>The XXXXX account has primary GID 0 and is therefore a member of the root group. This is not equivalent to UID 0, but it grants access to resources permitted to group root. Confirm the business requirement and review the effective group permissions.</t>
        </is>
      </c>
      <c r="F2" s="98" t="n"/>
      <c r="G2" s="130" t="n"/>
    </row>
    <row r="3">
      <c r="A3" s="120" t="n"/>
      <c r="B3" s="97" t="n"/>
      <c r="C3" s="97" t="n"/>
      <c r="D3" s="97" t="n"/>
      <c r="E3" s="98" t="n"/>
      <c r="F3" s="98" t="n"/>
      <c r="G3" s="130" t="n"/>
    </row>
    <row r="4">
      <c r="A4" s="120" t="n"/>
      <c r="B4" s="97" t="n"/>
      <c r="C4" s="97" t="n"/>
      <c r="D4" s="97" t="n"/>
      <c r="E4" s="98" t="n"/>
      <c r="F4" s="98" t="n"/>
      <c r="G4" s="130" t="n"/>
    </row>
    <row r="5">
      <c r="A5" s="120" t="n"/>
      <c r="B5" s="97" t="n"/>
      <c r="C5" s="97" t="n"/>
      <c r="D5" s="97" t="n"/>
      <c r="E5" s="98" t="n"/>
      <c r="F5" s="98" t="n"/>
      <c r="G5" s="130" t="n"/>
    </row>
    <row r="6" ht="60" customHeight="1">
      <c r="A6" s="120" t="n"/>
      <c r="B6" s="97" t="n"/>
      <c r="C6" s="97" t="n"/>
      <c r="D6" s="97" t="n"/>
      <c r="E6" s="98" t="inlineStr">
        <is>
          <t>XXXXXX is explicitly listed as a member of the adm group. The resources accessible through this membership were not enumerated in the collected evidence; confirm that the membership is required.</t>
        </is>
      </c>
      <c r="F6" s="98" t="n"/>
      <c r="G6" s="130" t="n"/>
    </row>
    <row r="7">
      <c r="A7" s="120" t="n"/>
      <c r="B7" s="97" t="n"/>
      <c r="C7" s="97" t="n"/>
      <c r="D7" s="97" t="n"/>
      <c r="E7" s="98" t="n"/>
      <c r="F7" s="98" t="n"/>
      <c r="G7" s="130" t="n"/>
    </row>
    <row r="8">
      <c r="A8" s="120" t="n"/>
      <c r="B8" s="97" t="n"/>
      <c r="C8" s="97" t="n"/>
      <c r="D8" s="97" t="n"/>
      <c r="E8" s="98" t="n"/>
      <c r="F8" s="98" t="n"/>
      <c r="G8" s="130" t="n"/>
    </row>
    <row r="9">
      <c r="A9" s="120" t="n"/>
      <c r="B9" s="97" t="n"/>
      <c r="C9" s="97" t="n"/>
      <c r="D9" s="97" t="n"/>
      <c r="E9" s="98" t="n"/>
      <c r="F9" s="98" t="n"/>
      <c r="G9" s="130" t="n"/>
    </row>
    <row r="10">
      <c r="A10" s="131" t="n"/>
      <c r="B10" s="132" t="n"/>
      <c r="C10" s="132" t="n"/>
      <c r="D10" s="132" t="n"/>
      <c r="E10" s="133" t="n"/>
      <c r="F10" s="133" t="n"/>
      <c r="G10" s="134" t="n"/>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19"/>
  <sheetViews>
    <sheetView zoomScale="80" zoomScaleNormal="80" workbookViewId="0">
      <selection activeCell="B2" sqref="B2:B19"/>
    </sheetView>
  </sheetViews>
  <sheetFormatPr baseColWidth="8" defaultColWidth="9.28515625" defaultRowHeight="15"/>
  <cols>
    <col width="30.28515625" customWidth="1" style="194" min="1" max="1"/>
    <col width="45.5703125" customWidth="1" style="90" min="2" max="2"/>
    <col width="43.7109375" customWidth="1" style="89" min="3" max="3"/>
    <col width="28.7109375" customWidth="1" style="89" min="4" max="4"/>
    <col width="23.7109375" customWidth="1" style="89" min="5" max="5"/>
    <col width="9.28515625" customWidth="1" style="89" min="6" max="16384"/>
  </cols>
  <sheetData>
    <row r="1" ht="45" customHeight="1">
      <c r="A1" s="128" t="inlineStr">
        <is>
          <t>PID</t>
        </is>
      </c>
      <c r="B1" s="94" t="inlineStr">
        <is>
          <t>Path</t>
        </is>
      </c>
      <c r="C1" s="129" t="inlineStr">
        <is>
          <t>Security Comment</t>
        </is>
      </c>
      <c r="D1" s="89" t="inlineStr">
        <is>
          <t>Owner Comment</t>
        </is>
      </c>
      <c r="E1" s="89" t="inlineStr">
        <is>
          <t>Security Reviews</t>
        </is>
      </c>
    </row>
    <row r="2">
      <c r="A2" s="127" t="n">
        <v>1</v>
      </c>
      <c r="B2" s="91" t="inlineStr">
        <is>
          <t>systemd</t>
        </is>
      </c>
      <c r="C2" s="93" t="n"/>
      <c r="D2" s="93" t="n"/>
      <c r="E2" s="93" t="n"/>
    </row>
    <row r="3">
      <c r="A3" s="127" t="n">
        <v>2</v>
      </c>
      <c r="B3" s="91" t="inlineStr">
        <is>
          <t>kthreadd</t>
        </is>
      </c>
      <c r="C3" s="93" t="n"/>
      <c r="D3" s="93" t="n"/>
      <c r="E3" s="93" t="n"/>
    </row>
    <row r="4">
      <c r="A4" s="127" t="n">
        <v>3</v>
      </c>
      <c r="B4" s="91" t="inlineStr">
        <is>
          <t>rcu_gp</t>
        </is>
      </c>
      <c r="C4" s="93" t="n"/>
      <c r="D4" s="93" t="n"/>
      <c r="E4" s="93" t="n"/>
    </row>
    <row r="5">
      <c r="A5" s="127" t="n">
        <v>4</v>
      </c>
      <c r="B5" s="91" t="inlineStr">
        <is>
          <t>rcu_par_gp</t>
        </is>
      </c>
      <c r="C5" s="93" t="n"/>
      <c r="D5" s="93" t="n"/>
      <c r="E5" s="93" t="n"/>
    </row>
    <row r="6">
      <c r="A6" s="127" t="n">
        <v>5</v>
      </c>
      <c r="B6" s="91" t="inlineStr">
        <is>
          <t>slub_flushwq</t>
        </is>
      </c>
      <c r="C6" s="93" t="n"/>
      <c r="D6" s="93" t="n"/>
      <c r="E6" s="93" t="n"/>
    </row>
    <row r="7">
      <c r="A7" s="127" t="n">
        <v>7</v>
      </c>
      <c r="B7" s="91" t="inlineStr">
        <is>
          <t>kworker/0:0H-events_highpri</t>
        </is>
      </c>
      <c r="C7" s="93" t="n"/>
      <c r="D7" s="93" t="n"/>
      <c r="E7" s="93" t="n"/>
    </row>
    <row r="8">
      <c r="A8" s="127" t="n">
        <v>10</v>
      </c>
      <c r="B8" s="91" t="inlineStr">
        <is>
          <t>kworker/u64:0-netns</t>
        </is>
      </c>
      <c r="C8" s="93" t="n"/>
      <c r="D8" s="93" t="n"/>
      <c r="E8" s="93" t="n"/>
    </row>
    <row r="9">
      <c r="A9" s="127" t="n">
        <v>11</v>
      </c>
      <c r="B9" s="91" t="inlineStr">
        <is>
          <t>mm_percpu_wq</t>
        </is>
      </c>
      <c r="C9" s="93" t="n"/>
      <c r="D9" s="93" t="n"/>
      <c r="E9" s="93" t="n"/>
    </row>
    <row r="10">
      <c r="A10" s="127" t="n">
        <v>12</v>
      </c>
      <c r="B10" s="91" t="inlineStr">
        <is>
          <t>rcu_tasks_rude_</t>
        </is>
      </c>
      <c r="C10" s="93" t="n"/>
      <c r="D10" s="93" t="n"/>
      <c r="E10" s="93" t="n"/>
    </row>
    <row r="11">
      <c r="A11" s="127" t="n">
        <v>13</v>
      </c>
      <c r="B11" s="91" t="inlineStr">
        <is>
          <t>rcu_tasks_trace</t>
        </is>
      </c>
      <c r="C11" s="93" t="n"/>
      <c r="D11" s="93" t="n"/>
      <c r="E11" s="93" t="n"/>
    </row>
    <row r="12">
      <c r="A12" s="127" t="n">
        <v>14</v>
      </c>
      <c r="B12" s="91" t="inlineStr">
        <is>
          <t>ksoftirqd/0</t>
        </is>
      </c>
      <c r="C12" s="93" t="n"/>
      <c r="D12" s="93" t="n"/>
      <c r="E12" s="93" t="n"/>
    </row>
    <row r="13">
      <c r="A13" s="127" t="n">
        <v>15</v>
      </c>
      <c r="B13" s="91" t="inlineStr">
        <is>
          <t>rcu_sched</t>
        </is>
      </c>
      <c r="C13" s="93" t="n"/>
      <c r="D13" s="93" t="n"/>
      <c r="E13" s="93" t="n"/>
    </row>
    <row r="14">
      <c r="A14" s="127" t="n">
        <v>16</v>
      </c>
      <c r="B14" s="91" t="inlineStr">
        <is>
          <t>migration/0</t>
        </is>
      </c>
      <c r="C14" s="93" t="n"/>
      <c r="D14" s="93" t="n"/>
      <c r="E14" s="93" t="n"/>
    </row>
    <row r="15">
      <c r="A15" s="127" t="n">
        <v>17</v>
      </c>
      <c r="B15" s="91" t="inlineStr">
        <is>
          <t>watchdog/0</t>
        </is>
      </c>
      <c r="C15" s="93" t="n"/>
      <c r="D15" s="93" t="n"/>
      <c r="E15" s="93" t="n"/>
    </row>
    <row r="16">
      <c r="A16" s="127" t="n">
        <v>18</v>
      </c>
      <c r="B16" s="91" t="inlineStr">
        <is>
          <t>cpuhp/0</t>
        </is>
      </c>
      <c r="C16" s="93" t="n"/>
      <c r="D16" s="93" t="n"/>
      <c r="E16" s="93" t="n"/>
    </row>
    <row r="17">
      <c r="A17" s="127" t="n">
        <v>19</v>
      </c>
      <c r="B17" s="91" t="inlineStr">
        <is>
          <t>cpuhp/1</t>
        </is>
      </c>
      <c r="C17" s="93" t="n"/>
      <c r="D17" s="93" t="n"/>
      <c r="E17" s="93" t="n"/>
    </row>
    <row r="18">
      <c r="A18" s="127" t="n">
        <v>20</v>
      </c>
      <c r="B18" s="91" t="inlineStr">
        <is>
          <t>watchdog/1</t>
        </is>
      </c>
      <c r="C18" s="93" t="n"/>
      <c r="D18" s="93" t="n"/>
      <c r="E18" s="93" t="n"/>
    </row>
    <row r="19">
      <c r="A19" s="124" t="n">
        <v>21</v>
      </c>
      <c r="B19" s="126" t="inlineStr">
        <is>
          <t>migration/1</t>
        </is>
      </c>
      <c r="C19" s="95" t="n"/>
      <c r="D19" s="95" t="n"/>
      <c r="E19" s="95" t="n"/>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4"/>
  <sheetViews>
    <sheetView zoomScaleNormal="100" workbookViewId="0">
      <selection activeCell="C12" sqref="C12:D12"/>
    </sheetView>
  </sheetViews>
  <sheetFormatPr baseColWidth="8" defaultColWidth="9.140625" defaultRowHeight="15"/>
  <cols>
    <col width="9.140625" customWidth="1" style="1" min="1" max="1"/>
    <col width="42.85546875" bestFit="1" customWidth="1" style="1" min="2" max="2"/>
    <col width="21" customWidth="1" style="1" min="3" max="5"/>
    <col width="9.140625" customWidth="1" style="1" min="6" max="16384"/>
  </cols>
  <sheetData>
    <row r="1">
      <c r="A1" s="118" t="inlineStr">
        <is>
          <t>Host</t>
        </is>
      </c>
      <c r="B1" s="112" t="inlineStr">
        <is>
          <t>cronjob</t>
        </is>
      </c>
      <c r="C1" s="113" t="inlineStr">
        <is>
          <t>Security Comment</t>
        </is>
      </c>
      <c r="D1" s="113" t="inlineStr">
        <is>
          <t>Owner Comment</t>
        </is>
      </c>
      <c r="E1" s="114" t="inlineStr">
        <is>
          <t>Security Reviews</t>
        </is>
      </c>
    </row>
    <row r="2">
      <c r="A2" s="110" t="n"/>
      <c r="B2" s="109" t="inlineStr">
        <is>
          <t>0 5 * * * /usr/sbin/aide --check</t>
        </is>
      </c>
      <c r="C2" s="93" t="n"/>
      <c r="D2" s="93" t="n"/>
      <c r="E2" s="111" t="n"/>
    </row>
    <row r="3">
      <c r="A3" s="110" t="n"/>
      <c r="B3" s="109" t="inlineStr">
        <is>
          <t>0 10 * * * /root/email.sh &gt;&gt; /tmp/sendmail.log</t>
        </is>
      </c>
      <c r="C3" s="93" t="n"/>
      <c r="D3" s="93" t="n"/>
      <c r="E3" s="111" t="n"/>
    </row>
    <row r="4">
      <c r="A4" s="115" t="n"/>
      <c r="B4" s="116" t="inlineStr">
        <is>
          <t>0 5 * * * /usr/sbin/aide --check</t>
        </is>
      </c>
      <c r="C4" s="95" t="n"/>
      <c r="D4" s="95" t="n"/>
      <c r="E4" s="117" t="n"/>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7"/>
  <sheetViews>
    <sheetView zoomScale="80" zoomScaleNormal="80" workbookViewId="0">
      <selection activeCell="A1" sqref="A1:E17"/>
    </sheetView>
  </sheetViews>
  <sheetFormatPr baseColWidth="8" defaultColWidth="8.7109375" defaultRowHeight="15"/>
  <cols>
    <col width="46.7109375" customWidth="1" style="194" min="1" max="1"/>
    <col width="52.140625" customWidth="1" style="66" min="2" max="2"/>
    <col width="35.140625" customWidth="1" style="194" min="3" max="3"/>
    <col width="33.28515625" customWidth="1" style="194" min="4" max="4"/>
    <col width="28.7109375" customWidth="1" style="194" min="5" max="5"/>
    <col width="8.7109375" customWidth="1" style="194" min="6" max="16384"/>
  </cols>
  <sheetData>
    <row r="1">
      <c r="A1" s="119" t="inlineStr">
        <is>
          <t>user</t>
        </is>
      </c>
      <c r="B1" s="113" t="inlineStr">
        <is>
          <t>Environment</t>
        </is>
      </c>
      <c r="C1" s="113" t="inlineStr">
        <is>
          <t>Security Comment</t>
        </is>
      </c>
      <c r="D1" s="113" t="inlineStr">
        <is>
          <t>Owner Comment</t>
        </is>
      </c>
      <c r="E1" s="114" t="inlineStr">
        <is>
          <t>Security Reviews</t>
        </is>
      </c>
    </row>
    <row r="2">
      <c r="A2" s="93" t="inlineStr">
        <is>
          <t>root</t>
        </is>
      </c>
      <c r="B2" s="91" t="n"/>
      <c r="C2" s="95" t="n"/>
      <c r="D2" s="95" t="n"/>
      <c r="E2" s="117" t="n"/>
    </row>
    <row r="3">
      <c r="A3" s="93" t="inlineStr">
        <is>
          <t>bin</t>
        </is>
      </c>
      <c r="B3" s="91" t="n"/>
      <c r="C3" s="95" t="n"/>
      <c r="D3" s="95" t="n"/>
      <c r="E3" s="117" t="n"/>
    </row>
    <row r="4">
      <c r="A4" s="93" t="inlineStr">
        <is>
          <t>daemon</t>
        </is>
      </c>
      <c r="B4" s="91" t="n"/>
      <c r="C4" s="95" t="n"/>
      <c r="D4" s="95" t="n"/>
      <c r="E4" s="117" t="n"/>
    </row>
    <row r="5">
      <c r="A5" s="93" t="inlineStr">
        <is>
          <t>adm</t>
        </is>
      </c>
      <c r="B5" s="91" t="n"/>
      <c r="C5" s="95" t="n"/>
      <c r="D5" s="95" t="n"/>
      <c r="E5" s="117" t="n"/>
    </row>
    <row r="6">
      <c r="A6" s="93" t="inlineStr">
        <is>
          <t>lp</t>
        </is>
      </c>
      <c r="B6" s="91" t="n"/>
      <c r="C6" s="95" t="n"/>
      <c r="D6" s="95" t="n"/>
      <c r="E6" s="117" t="n"/>
    </row>
    <row r="7">
      <c r="A7" s="93" t="inlineStr">
        <is>
          <t>sync</t>
        </is>
      </c>
      <c r="B7" s="91" t="n"/>
      <c r="C7" s="95" t="n"/>
      <c r="D7" s="95" t="n"/>
      <c r="E7" s="117" t="n"/>
    </row>
    <row r="8">
      <c r="A8" s="93" t="inlineStr">
        <is>
          <t>shutdown</t>
        </is>
      </c>
      <c r="B8" s="91" t="n"/>
      <c r="C8" s="95" t="n"/>
      <c r="D8" s="95" t="n"/>
      <c r="E8" s="117" t="n"/>
    </row>
    <row r="9">
      <c r="A9" s="93" t="inlineStr">
        <is>
          <t>halt</t>
        </is>
      </c>
      <c r="B9" s="91" t="n"/>
      <c r="C9" s="95" t="n"/>
      <c r="D9" s="95" t="n"/>
      <c r="E9" s="117" t="n"/>
    </row>
    <row r="10">
      <c r="A10" s="93" t="inlineStr">
        <is>
          <t>mail</t>
        </is>
      </c>
      <c r="B10" s="91" t="n"/>
      <c r="C10" s="95" t="n"/>
      <c r="D10" s="95" t="n"/>
      <c r="E10" s="117" t="n"/>
    </row>
    <row r="11">
      <c r="A11" s="93" t="inlineStr">
        <is>
          <t>operator</t>
        </is>
      </c>
      <c r="B11" s="91" t="n"/>
      <c r="C11" s="95" t="n"/>
      <c r="D11" s="95" t="n"/>
      <c r="E11" s="117" t="n"/>
    </row>
    <row r="12">
      <c r="A12" s="93" t="inlineStr">
        <is>
          <t>games</t>
        </is>
      </c>
      <c r="B12" s="91" t="n"/>
      <c r="C12" s="95" t="n"/>
      <c r="D12" s="95" t="n"/>
      <c r="E12" s="117" t="n"/>
    </row>
    <row r="13">
      <c r="A13" s="93" t="inlineStr">
        <is>
          <t>ftp</t>
        </is>
      </c>
      <c r="B13" s="91" t="n"/>
      <c r="C13" s="95" t="n"/>
      <c r="D13" s="95" t="n"/>
      <c r="E13" s="117" t="n"/>
    </row>
    <row r="14">
      <c r="A14" s="93" t="inlineStr">
        <is>
          <t>nobody</t>
        </is>
      </c>
      <c r="B14" s="91" t="n"/>
      <c r="C14" s="95" t="n"/>
      <c r="D14" s="95" t="n"/>
      <c r="E14" s="117" t="n"/>
    </row>
    <row r="15">
      <c r="A15" s="93" t="inlineStr">
        <is>
          <t>dbus</t>
        </is>
      </c>
      <c r="B15" s="91" t="n"/>
      <c r="C15" s="95" t="n"/>
      <c r="D15" s="95" t="n"/>
      <c r="E15" s="117" t="n"/>
    </row>
    <row r="16">
      <c r="A16" s="93" t="inlineStr">
        <is>
          <t>systemd-coredump</t>
        </is>
      </c>
      <c r="B16" s="91" t="n"/>
      <c r="C16" s="95" t="n"/>
      <c r="D16" s="95" t="n"/>
      <c r="E16" s="117" t="n"/>
    </row>
    <row r="17">
      <c r="A17" s="93" t="inlineStr">
        <is>
          <t>systemd-resolve</t>
        </is>
      </c>
      <c r="B17" s="91" t="n"/>
      <c r="C17" s="95" t="n"/>
      <c r="D17" s="95" t="n"/>
      <c r="E17" s="117" t="n"/>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19"/>
  <sheetViews>
    <sheetView zoomScaleNormal="100" workbookViewId="0">
      <selection activeCell="B12" sqref="B12"/>
    </sheetView>
  </sheetViews>
  <sheetFormatPr baseColWidth="8" defaultColWidth="9.140625" defaultRowHeight="15"/>
  <cols>
    <col width="11" customWidth="1" style="1" min="1" max="1"/>
    <col width="130.140625" customWidth="1" style="23" min="2" max="2"/>
    <col width="35.140625" customWidth="1" style="194" min="3" max="3"/>
    <col width="33.28515625" customWidth="1" style="194" min="4" max="4"/>
    <col width="28.7109375" customWidth="1" style="194" min="5" max="5"/>
    <col width="9.140625" customWidth="1" style="1" min="6" max="16384"/>
  </cols>
  <sheetData>
    <row r="1">
      <c r="A1" s="122" t="inlineStr">
        <is>
          <t>Host</t>
        </is>
      </c>
      <c r="B1" s="122" t="inlineStr">
        <is>
          <t>ssh known hosts</t>
        </is>
      </c>
      <c r="C1" s="82" t="inlineStr">
        <is>
          <t>Security Comment</t>
        </is>
      </c>
      <c r="D1" s="82" t="inlineStr">
        <is>
          <t>Owner Comment</t>
        </is>
      </c>
      <c r="E1" s="82" t="inlineStr">
        <is>
          <t>Security Reviews</t>
        </is>
      </c>
    </row>
    <row r="2">
      <c r="A2" s="122" t="n"/>
      <c r="B2" s="122" t="n"/>
      <c r="C2" s="82" t="n"/>
      <c r="D2" s="82" t="n"/>
      <c r="E2" s="82" t="n"/>
    </row>
    <row r="3">
      <c r="A3" s="102" t="n"/>
      <c r="B3" s="123" t="n"/>
      <c r="C3" s="89" t="n"/>
      <c r="D3" s="89" t="n"/>
      <c r="E3" s="89" t="n"/>
    </row>
    <row r="4">
      <c r="A4" s="102" t="n"/>
      <c r="B4" s="123" t="n"/>
      <c r="C4" s="89" t="n"/>
      <c r="D4" s="89" t="n"/>
      <c r="E4" s="89" t="n"/>
    </row>
    <row r="5">
      <c r="A5" s="102" t="n"/>
      <c r="B5" s="123" t="n"/>
      <c r="C5" s="89" t="n"/>
      <c r="D5" s="89" t="n"/>
      <c r="E5" s="89" t="n"/>
    </row>
    <row r="6">
      <c r="A6" s="102" t="n"/>
      <c r="B6" s="123" t="n"/>
      <c r="C6" s="89" t="n"/>
      <c r="D6" s="89" t="n"/>
      <c r="E6" s="89" t="n"/>
    </row>
    <row r="7">
      <c r="A7" s="102" t="n"/>
      <c r="B7" s="123" t="n"/>
      <c r="C7" s="89" t="n"/>
      <c r="D7" s="89" t="n"/>
      <c r="E7" s="89" t="n"/>
    </row>
    <row r="8">
      <c r="A8" s="102" t="n"/>
      <c r="B8" s="123" t="n"/>
      <c r="C8" s="89" t="n"/>
      <c r="D8" s="89" t="n"/>
      <c r="E8" s="89" t="n"/>
    </row>
    <row r="9">
      <c r="A9" s="102" t="n"/>
      <c r="B9" s="123" t="n"/>
      <c r="C9" s="89" t="n"/>
      <c r="D9" s="89" t="n"/>
      <c r="E9" s="89" t="n"/>
    </row>
    <row r="10">
      <c r="A10" s="102" t="n"/>
      <c r="B10" s="123" t="n"/>
      <c r="C10" s="89" t="n"/>
      <c r="D10" s="89" t="n"/>
      <c r="E10" s="89" t="n"/>
    </row>
    <row r="11">
      <c r="A11" s="102" t="n"/>
      <c r="B11" s="123" t="n"/>
      <c r="C11" s="89" t="n"/>
      <c r="D11" s="89" t="n"/>
      <c r="E11" s="89" t="n"/>
    </row>
    <row r="12">
      <c r="A12" s="102" t="n"/>
      <c r="B12" s="123" t="n"/>
      <c r="C12" s="89" t="n"/>
      <c r="D12" s="89" t="n"/>
      <c r="E12" s="89" t="n"/>
    </row>
    <row r="13">
      <c r="A13" s="102" t="n"/>
      <c r="B13" s="123" t="n"/>
      <c r="C13" s="89" t="n"/>
      <c r="D13" s="89" t="n"/>
      <c r="E13" s="89" t="n"/>
    </row>
    <row r="14">
      <c r="A14" s="102" t="n"/>
      <c r="B14" s="123" t="n"/>
      <c r="C14" s="89" t="n"/>
      <c r="D14" s="89" t="n"/>
      <c r="E14" s="89" t="n"/>
    </row>
    <row r="15">
      <c r="A15" s="102" t="n"/>
      <c r="B15" s="123" t="n"/>
      <c r="C15" s="89" t="n"/>
      <c r="D15" s="89" t="n"/>
      <c r="E15" s="89" t="n"/>
    </row>
    <row r="16">
      <c r="A16" s="102" t="n"/>
      <c r="B16" s="123" t="n"/>
      <c r="C16" s="89" t="n"/>
      <c r="D16" s="89" t="n"/>
      <c r="E16" s="89" t="n"/>
    </row>
    <row r="17">
      <c r="A17" s="102" t="n"/>
      <c r="B17" s="123" t="n"/>
      <c r="C17" s="89" t="n"/>
      <c r="D17" s="89" t="n"/>
      <c r="E17" s="89" t="n"/>
    </row>
    <row r="18">
      <c r="A18" s="102" t="n"/>
      <c r="B18" s="123" t="n"/>
      <c r="C18" s="89" t="n"/>
      <c r="D18" s="89" t="n"/>
      <c r="E18" s="89" t="n"/>
    </row>
    <row r="19">
      <c r="A19" s="102" t="n"/>
      <c r="B19" s="123" t="n"/>
      <c r="C19" s="89" t="n"/>
      <c r="D19" s="89" t="n"/>
      <c r="E19" s="89"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رویال پرداز تیام</dc:creator>
  <dc:title xmlns:dc="http://purl.org/dc/elements/1.1/">OS Security Assessment</dc:title>
  <dc:subject xmlns:dc="http://purl.org/dc/elements/1.1/">IPAM Linux OS</dc:subject>
  <dcterms:created xmlns:dcterms="http://purl.org/dc/terms/" xmlns:xsi="http://www.w3.org/2001/XMLSchema-instance" xsi:type="dcterms:W3CDTF">2022-11-29T05:33:35Z</dcterms:created>
  <dcterms:modified xmlns:dcterms="http://purl.org/dc/terms/" xmlns:xsi="http://www.w3.org/2001/XMLSchema-instance" xsi:type="dcterms:W3CDTF">2026-10-27T09:34:38Z</dcterms:modified>
  <cp:lastModifiedBy>Amir Molaei</cp:lastModifiedBy>
</cp:coreProperties>
</file>